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15345" windowHeight="4635" tabRatio="500"/>
  </bookViews>
  <sheets>
    <sheet name="Raw Data" sheetId="4" r:id="rId1"/>
    <sheet name="Cleaned Data" sheetId="1" r:id="rId2"/>
    <sheet name="Attrition Summary" sheetId="2" r:id="rId3"/>
    <sheet name="Findings &amp; Recommendations" sheetId="3" r:id="rId4"/>
  </sheets>
  <calcPr calcId="152511"/>
  <extLst>
    <ext xmlns:loext="http://schemas.libreoffice.org/" uri="{7626C862-2A13-11E5-B345-FEFF819CDC9F}">
      <loext:extCalcPr stringRefSyntax="ExcelA1"/>
    </ext>
  </extLst>
</workbook>
</file>

<file path=xl/calcChain.xml><?xml version="1.0" encoding="utf-8"?>
<calcChain xmlns="http://schemas.openxmlformats.org/spreadsheetml/2006/main">
  <c r="C26" i="2" l="1"/>
  <c r="B26" i="2"/>
  <c r="D26" i="2" s="1"/>
  <c r="E26" i="2" s="1"/>
  <c r="C25" i="2"/>
  <c r="B25" i="2"/>
  <c r="D25" i="2" s="1"/>
  <c r="E25" i="2" s="1"/>
  <c r="C24" i="2"/>
  <c r="B24" i="2"/>
  <c r="C23" i="2"/>
  <c r="B23" i="2"/>
  <c r="D23" i="2" s="1"/>
  <c r="E23" i="2" s="1"/>
  <c r="C19" i="2"/>
  <c r="B19" i="2"/>
  <c r="C18" i="2"/>
  <c r="B18" i="2"/>
  <c r="D18" i="2" s="1"/>
  <c r="E18" i="2" s="1"/>
  <c r="C17" i="2"/>
  <c r="B17" i="2"/>
  <c r="C16" i="2"/>
  <c r="B16" i="2"/>
  <c r="D16" i="2" s="1"/>
  <c r="E16" i="2" s="1"/>
  <c r="C12" i="2"/>
  <c r="B12" i="2"/>
  <c r="C11" i="2"/>
  <c r="B11" i="2"/>
  <c r="D11" i="2" s="1"/>
  <c r="E11" i="2" s="1"/>
  <c r="C7" i="2"/>
  <c r="B7" i="2"/>
  <c r="C6" i="2"/>
  <c r="B6" i="2"/>
  <c r="D6" i="2" s="1"/>
  <c r="E6" i="2" s="1"/>
  <c r="C5" i="2"/>
  <c r="B5" i="2"/>
  <c r="B2" i="2"/>
  <c r="D5" i="2" l="1"/>
  <c r="E5" i="2" s="1"/>
  <c r="D7" i="2"/>
  <c r="E7" i="2" s="1"/>
  <c r="D12" i="2"/>
  <c r="E12" i="2" s="1"/>
  <c r="D17" i="2"/>
  <c r="E17" i="2" s="1"/>
  <c r="D19" i="2"/>
  <c r="E19" i="2" s="1"/>
  <c r="D24" i="2"/>
  <c r="E24" i="2" s="1"/>
</calcChain>
</file>

<file path=xl/sharedStrings.xml><?xml version="1.0" encoding="utf-8"?>
<sst xmlns="http://schemas.openxmlformats.org/spreadsheetml/2006/main" count="9991" uniqueCount="1200">
  <si>
    <t>EmployeeID</t>
  </si>
  <si>
    <t>Age</t>
  </si>
  <si>
    <t>Gender</t>
  </si>
  <si>
    <t>MaritalStatus</t>
  </si>
  <si>
    <t>Department</t>
  </si>
  <si>
    <t>JobRole</t>
  </si>
  <si>
    <t>HireDate</t>
  </si>
  <si>
    <t>YearsAtCompany</t>
  </si>
  <si>
    <t>TenureBand</t>
  </si>
  <si>
    <t>MonthlyIncome</t>
  </si>
  <si>
    <t>DistanceFromHome_km</t>
  </si>
  <si>
    <t>OverTime</t>
  </si>
  <si>
    <t>JobSatisfaction_1to4</t>
  </si>
  <si>
    <t>WorkLifeBalance_1to4</t>
  </si>
  <si>
    <t>PerformanceRating_1to4</t>
  </si>
  <si>
    <t>TrainingSessionsLastYear</t>
  </si>
  <si>
    <t>Attrition</t>
  </si>
  <si>
    <t>EMP1402</t>
  </si>
  <si>
    <t>Female</t>
  </si>
  <si>
    <t>Single</t>
  </si>
  <si>
    <t>Sales</t>
  </si>
  <si>
    <t>Sales Manager</t>
  </si>
  <si>
    <t>2025-11-08</t>
  </si>
  <si>
    <t>0-2</t>
  </si>
  <si>
    <t>No</t>
  </si>
  <si>
    <t>EMP1284</t>
  </si>
  <si>
    <t>Male</t>
  </si>
  <si>
    <t>Divorced</t>
  </si>
  <si>
    <t>Research &amp; Development</t>
  </si>
  <si>
    <t>R&amp;D Manager</t>
  </si>
  <si>
    <t>2020-02-23</t>
  </si>
  <si>
    <t>6-10</t>
  </si>
  <si>
    <t>EMP1415</t>
  </si>
  <si>
    <t>Married</t>
  </si>
  <si>
    <t>Laboratory Technician</t>
  </si>
  <si>
    <t>2025-09-28</t>
  </si>
  <si>
    <t>Yes</t>
  </si>
  <si>
    <t>EMP1483</t>
  </si>
  <si>
    <t>2024-02-29</t>
  </si>
  <si>
    <t>EMP1420</t>
  </si>
  <si>
    <t>Sales Representative</t>
  </si>
  <si>
    <t>2022-06-11</t>
  </si>
  <si>
    <t>3-5</t>
  </si>
  <si>
    <t>EMP1169</t>
  </si>
  <si>
    <t>Sales Executive</t>
  </si>
  <si>
    <t>2025-10-10</t>
  </si>
  <si>
    <t>EMP1246</t>
  </si>
  <si>
    <t>2023-04-21</t>
  </si>
  <si>
    <t>EMP1553</t>
  </si>
  <si>
    <t>2026-06-27</t>
  </si>
  <si>
    <t>EMP1233</t>
  </si>
  <si>
    <t>2022-05-01</t>
  </si>
  <si>
    <t>EMP1453</t>
  </si>
  <si>
    <t>2026-03-25</t>
  </si>
  <si>
    <t>EMP1589</t>
  </si>
  <si>
    <t>2018-02-13</t>
  </si>
  <si>
    <t>EMP1325</t>
  </si>
  <si>
    <t>2025-07-04</t>
  </si>
  <si>
    <t>EMP1141</t>
  </si>
  <si>
    <t>Manufacturing Engineer</t>
  </si>
  <si>
    <t>2020-11-29</t>
  </si>
  <si>
    <t>EMP1293</t>
  </si>
  <si>
    <t>2024-12-20</t>
  </si>
  <si>
    <t>EMP1116</t>
  </si>
  <si>
    <t>Research Scientist</t>
  </si>
  <si>
    <t>2019-11-29</t>
  </si>
  <si>
    <t>EMP1250</t>
  </si>
  <si>
    <t>2025-01-02</t>
  </si>
  <si>
    <t>EMP1203</t>
  </si>
  <si>
    <t>2017-06-14</t>
  </si>
  <si>
    <t>EMP1102</t>
  </si>
  <si>
    <t>2023-10-24</t>
  </si>
  <si>
    <t>EMP1518</t>
  </si>
  <si>
    <t>2022-12-27</t>
  </si>
  <si>
    <t>EMP1193</t>
  </si>
  <si>
    <t>2024-11-07</t>
  </si>
  <si>
    <t>EMP1512</t>
  </si>
  <si>
    <t>2022-06-06</t>
  </si>
  <si>
    <t>EMP1240</t>
  </si>
  <si>
    <t>2021-04-14</t>
  </si>
  <si>
    <t>EMP1405</t>
  </si>
  <si>
    <t>2025-01-03</t>
  </si>
  <si>
    <t>EMP1244</t>
  </si>
  <si>
    <t>2017-01-30</t>
  </si>
  <si>
    <t>EMP1429</t>
  </si>
  <si>
    <t>2018-05-23</t>
  </si>
  <si>
    <t>EMP1279</t>
  </si>
  <si>
    <t>2025-05-11</t>
  </si>
  <si>
    <t>EMP1189</t>
  </si>
  <si>
    <t>2021-06-02</t>
  </si>
  <si>
    <t>EMP1133</t>
  </si>
  <si>
    <t>2010-01-08</t>
  </si>
  <si>
    <t>10+</t>
  </si>
  <si>
    <t>EMP1295</t>
  </si>
  <si>
    <t>2016-12-25</t>
  </si>
  <si>
    <t>EMP1515</t>
  </si>
  <si>
    <t>2018-10-16</t>
  </si>
  <si>
    <t>EMP1142</t>
  </si>
  <si>
    <t>2023-09-20</t>
  </si>
  <si>
    <t>EMP1380</t>
  </si>
  <si>
    <t>2024-04-11</t>
  </si>
  <si>
    <t>EMP1550</t>
  </si>
  <si>
    <t>2026-07-05</t>
  </si>
  <si>
    <t>EMP1272</t>
  </si>
  <si>
    <t>2025-12-12</t>
  </si>
  <si>
    <t>EMP1344</t>
  </si>
  <si>
    <t>2020-05-19</t>
  </si>
  <si>
    <t>EMP1511</t>
  </si>
  <si>
    <t>2018-05-30</t>
  </si>
  <si>
    <t>EMP1595</t>
  </si>
  <si>
    <t>Human Resources</t>
  </si>
  <si>
    <t>Recruiter</t>
  </si>
  <si>
    <t>2021-09-26</t>
  </si>
  <si>
    <t>EMP1447</t>
  </si>
  <si>
    <t>2023-01-04</t>
  </si>
  <si>
    <t>EMP1500</t>
  </si>
  <si>
    <t>2020-01-24</t>
  </si>
  <si>
    <t>EMP1100</t>
  </si>
  <si>
    <t>2026-01-21</t>
  </si>
  <si>
    <t>EMP1210</t>
  </si>
  <si>
    <t>2022-05-08</t>
  </si>
  <si>
    <t>EMP1143</t>
  </si>
  <si>
    <t>2018-11-18</t>
  </si>
  <si>
    <t>EMP1387</t>
  </si>
  <si>
    <t>2025-02-12</t>
  </si>
  <si>
    <t>EMP1257</t>
  </si>
  <si>
    <t>2023-04-11</t>
  </si>
  <si>
    <t>EMP1584</t>
  </si>
  <si>
    <t>HR Manager</t>
  </si>
  <si>
    <t>2024-03-15</t>
  </si>
  <si>
    <t>EMP1214</t>
  </si>
  <si>
    <t>2020-06-26</t>
  </si>
  <si>
    <t>EMP1071</t>
  </si>
  <si>
    <t>2024-11-27</t>
  </si>
  <si>
    <t>EMP1135</t>
  </si>
  <si>
    <t>2025-11-23</t>
  </si>
  <si>
    <t>EMP1285</t>
  </si>
  <si>
    <t>2021-01-23</t>
  </si>
  <si>
    <t>EMP1061</t>
  </si>
  <si>
    <t>2025-12-13</t>
  </si>
  <si>
    <t>EMP1365</t>
  </si>
  <si>
    <t>2022-10-27</t>
  </si>
  <si>
    <t>EMP1054</t>
  </si>
  <si>
    <t>2026-03-04</t>
  </si>
  <si>
    <t>EMP1328</t>
  </si>
  <si>
    <t>2026-01-18</t>
  </si>
  <si>
    <t>EMP1347</t>
  </si>
  <si>
    <t>2025-09-22</t>
  </si>
  <si>
    <t>EMP1557</t>
  </si>
  <si>
    <t>2020-09-26</t>
  </si>
  <si>
    <t>EMP1406</t>
  </si>
  <si>
    <t>2025-01-14</t>
  </si>
  <si>
    <t>EMP1221</t>
  </si>
  <si>
    <t>2020-01-13</t>
  </si>
  <si>
    <t>EMP1201</t>
  </si>
  <si>
    <t>2022-10-21</t>
  </si>
  <si>
    <t>EMP1337</t>
  </si>
  <si>
    <t>2026-02-03</t>
  </si>
  <si>
    <t>EMP1014</t>
  </si>
  <si>
    <t>2021-11-25</t>
  </si>
  <si>
    <t>EMP1509</t>
  </si>
  <si>
    <t>2026-05-08</t>
  </si>
  <si>
    <t>EMP1004</t>
  </si>
  <si>
    <t>2021-07-12</t>
  </si>
  <si>
    <t>EMP1565</t>
  </si>
  <si>
    <t>2025-05-15</t>
  </si>
  <si>
    <t>EMP1448</t>
  </si>
  <si>
    <t>2025-09-29</t>
  </si>
  <si>
    <t>EMP1294</t>
  </si>
  <si>
    <t>2022-04-21</t>
  </si>
  <si>
    <t>EMP1245</t>
  </si>
  <si>
    <t>2020-03-11</t>
  </si>
  <si>
    <t>EMP1051</t>
  </si>
  <si>
    <t>2026-03-13</t>
  </si>
  <si>
    <t>EMP1554</t>
  </si>
  <si>
    <t>2026-01-11</t>
  </si>
  <si>
    <t>EMP1408</t>
  </si>
  <si>
    <t>2009-01-01</t>
  </si>
  <si>
    <t>EMP1424</t>
  </si>
  <si>
    <t>2021-12-28</t>
  </si>
  <si>
    <t>EMP1110</t>
  </si>
  <si>
    <t>2016-05-18</t>
  </si>
  <si>
    <t>EMP1243</t>
  </si>
  <si>
    <t>2020-02-13</t>
  </si>
  <si>
    <t>EMP1147</t>
  </si>
  <si>
    <t>2023-12-13</t>
  </si>
  <si>
    <t>EMP1573</t>
  </si>
  <si>
    <t>2025-11-24</t>
  </si>
  <si>
    <t>EMP1590</t>
  </si>
  <si>
    <t>HR Specialist</t>
  </si>
  <si>
    <t>2017-11-03</t>
  </si>
  <si>
    <t>EMP1023</t>
  </si>
  <si>
    <t>2022-06-04</t>
  </si>
  <si>
    <t>EMP1360</t>
  </si>
  <si>
    <t>2024-03-01</t>
  </si>
  <si>
    <t>EMP1188</t>
  </si>
  <si>
    <t>2024-01-18</t>
  </si>
  <si>
    <t>EMP1419</t>
  </si>
  <si>
    <t>2022-04-29</t>
  </si>
  <si>
    <t>EMP1052</t>
  </si>
  <si>
    <t>2024-07-08</t>
  </si>
  <si>
    <t>EMP1180</t>
  </si>
  <si>
    <t>2022-05-30</t>
  </si>
  <si>
    <t>EMP1320</t>
  </si>
  <si>
    <t>2015-12-11</t>
  </si>
  <si>
    <t>EMP1218</t>
  </si>
  <si>
    <t>2017-11-30</t>
  </si>
  <si>
    <t>EMP1564</t>
  </si>
  <si>
    <t>2024-01-19</t>
  </si>
  <si>
    <t>EMP1099</t>
  </si>
  <si>
    <t>2021-03-20</t>
  </si>
  <si>
    <t>EMP1426</t>
  </si>
  <si>
    <t>2023-01-20</t>
  </si>
  <si>
    <t>EMP1434</t>
  </si>
  <si>
    <t>2022-10-17</t>
  </si>
  <si>
    <t>EMP1378</t>
  </si>
  <si>
    <t>2020-10-30</t>
  </si>
  <si>
    <t>EMP1443</t>
  </si>
  <si>
    <t>2021-04-15</t>
  </si>
  <si>
    <t>EMP1278</t>
  </si>
  <si>
    <t>2016-11-16</t>
  </si>
  <si>
    <t>EMP1385</t>
  </si>
  <si>
    <t>2024-11-06</t>
  </si>
  <si>
    <t>EMP1510</t>
  </si>
  <si>
    <t>2026-06-07</t>
  </si>
  <si>
    <t>EMP1431</t>
  </si>
  <si>
    <t>2025-11-16</t>
  </si>
  <si>
    <t>EMP1286</t>
  </si>
  <si>
    <t>2025-12-10</t>
  </si>
  <si>
    <t>EMP1098</t>
  </si>
  <si>
    <t>2024-03-18</t>
  </si>
  <si>
    <t>EMP1586</t>
  </si>
  <si>
    <t>2025-02-05</t>
  </si>
  <si>
    <t>EMP1309</t>
  </si>
  <si>
    <t>2019-02-21</t>
  </si>
  <si>
    <t>EMP1194</t>
  </si>
  <si>
    <t>2023-03-05</t>
  </si>
  <si>
    <t>EMP1560</t>
  </si>
  <si>
    <t>EMP1056</t>
  </si>
  <si>
    <t>2025-06-25</t>
  </si>
  <si>
    <t>EMP1456</t>
  </si>
  <si>
    <t>2022-03-23</t>
  </si>
  <si>
    <t>EMP1465</t>
  </si>
  <si>
    <t>2022-09-24</t>
  </si>
  <si>
    <t>EMP1423</t>
  </si>
  <si>
    <t>2015-05-25</t>
  </si>
  <si>
    <t>EMP1237</t>
  </si>
  <si>
    <t>2026-05-16</t>
  </si>
  <si>
    <t>EMP1507</t>
  </si>
  <si>
    <t>2020-11-20</t>
  </si>
  <si>
    <t>EMP1383</t>
  </si>
  <si>
    <t>2024-11-04</t>
  </si>
  <si>
    <t>EMP1412</t>
  </si>
  <si>
    <t>2023-01-30</t>
  </si>
  <si>
    <t>EMP1356</t>
  </si>
  <si>
    <t>2023-11-13</t>
  </si>
  <si>
    <t>EMP1334</t>
  </si>
  <si>
    <t>EMP1574</t>
  </si>
  <si>
    <t>2022-10-04</t>
  </si>
  <si>
    <t>EMP1222</t>
  </si>
  <si>
    <t>2024-09-26</t>
  </si>
  <si>
    <t>EMP1505</t>
  </si>
  <si>
    <t>2025-10-22</t>
  </si>
  <si>
    <t>EMP1321</t>
  </si>
  <si>
    <t>2025-12-02</t>
  </si>
  <si>
    <t>EMP1083</t>
  </si>
  <si>
    <t>2020-01-03</t>
  </si>
  <si>
    <t>EMP1273</t>
  </si>
  <si>
    <t>2026-03-02</t>
  </si>
  <si>
    <t>EMP1024</t>
  </si>
  <si>
    <t>2023-03-27</t>
  </si>
  <si>
    <t>EMP1506</t>
  </si>
  <si>
    <t>2023-06-15</t>
  </si>
  <si>
    <t>EMP1329</t>
  </si>
  <si>
    <t>2026-02-07</t>
  </si>
  <si>
    <t>EMP1039</t>
  </si>
  <si>
    <t>2009-11-07</t>
  </si>
  <si>
    <t>EMP1541</t>
  </si>
  <si>
    <t>2025-04-23</t>
  </si>
  <si>
    <t>EMP1011</t>
  </si>
  <si>
    <t>2004-10-10</t>
  </si>
  <si>
    <t>EMP1459</t>
  </si>
  <si>
    <t>2025-10-09</t>
  </si>
  <si>
    <t>EMP1033</t>
  </si>
  <si>
    <t>2001-11-30</t>
  </si>
  <si>
    <t>EMP1338</t>
  </si>
  <si>
    <t>2023-07-06</t>
  </si>
  <si>
    <t>EMP1319</t>
  </si>
  <si>
    <t>2022-12-30</t>
  </si>
  <si>
    <t>EMP1026</t>
  </si>
  <si>
    <t>2026-06-02</t>
  </si>
  <si>
    <t>EMP1262</t>
  </si>
  <si>
    <t>2026-01-26</t>
  </si>
  <si>
    <t>EMP1539</t>
  </si>
  <si>
    <t>2016-06-11</t>
  </si>
  <si>
    <t>EMP1260</t>
  </si>
  <si>
    <t>2024-10-23</t>
  </si>
  <si>
    <t>EMP1306</t>
  </si>
  <si>
    <t>2025-05-19</t>
  </si>
  <si>
    <t>EMP1155</t>
  </si>
  <si>
    <t>2026-02-09</t>
  </si>
  <si>
    <t>EMP1253</t>
  </si>
  <si>
    <t>2026-01-31</t>
  </si>
  <si>
    <t>EMP1090</t>
  </si>
  <si>
    <t>2020-06-19</t>
  </si>
  <si>
    <t>EMP1066</t>
  </si>
  <si>
    <t>2017-10-29</t>
  </si>
  <si>
    <t>EMP1359</t>
  </si>
  <si>
    <t>2024-03-07</t>
  </si>
  <si>
    <t>EMP1324</t>
  </si>
  <si>
    <t>2024-02-12</t>
  </si>
  <si>
    <t>EMP1594</t>
  </si>
  <si>
    <t>2019-12-22</t>
  </si>
  <si>
    <t>EMP1290</t>
  </si>
  <si>
    <t>2024-11-22</t>
  </si>
  <si>
    <t>EMP1410</t>
  </si>
  <si>
    <t>2026-05-10</t>
  </si>
  <si>
    <t>EMP1160</t>
  </si>
  <si>
    <t>2019-02-17</t>
  </si>
  <si>
    <t>EMP1577</t>
  </si>
  <si>
    <t>2025-03-25</t>
  </si>
  <si>
    <t>EMP1341</t>
  </si>
  <si>
    <t>2021-09-20</t>
  </si>
  <si>
    <t>EMP1358</t>
  </si>
  <si>
    <t>2020-03-17</t>
  </si>
  <si>
    <t>EMP1041</t>
  </si>
  <si>
    <t>2022-05-26</t>
  </si>
  <si>
    <t>EMP1427</t>
  </si>
  <si>
    <t>2026-01-28</t>
  </si>
  <si>
    <t>EMP1432</t>
  </si>
  <si>
    <t>2025-01-10</t>
  </si>
  <si>
    <t>EMP1302</t>
  </si>
  <si>
    <t>2024-12-11</t>
  </si>
  <si>
    <t>EMP1485</t>
  </si>
  <si>
    <t>2025-06-28</t>
  </si>
  <si>
    <t>EMP1451</t>
  </si>
  <si>
    <t>2023-12-02</t>
  </si>
  <si>
    <t>EMP1057</t>
  </si>
  <si>
    <t>2026-03-06</t>
  </si>
  <si>
    <t>EMP1317</t>
  </si>
  <si>
    <t>2022-03-12</t>
  </si>
  <si>
    <t>EMP1072</t>
  </si>
  <si>
    <t>2025-10-24</t>
  </si>
  <si>
    <t>EMP1472</t>
  </si>
  <si>
    <t>2024-05-30</t>
  </si>
  <si>
    <t>EMP1416</t>
  </si>
  <si>
    <t>2024-01-02</t>
  </si>
  <si>
    <t>EMP1091</t>
  </si>
  <si>
    <t>2024-05-17</t>
  </si>
  <si>
    <t>EMP1167</t>
  </si>
  <si>
    <t>2013-04-28</t>
  </si>
  <si>
    <t>EMP1271</t>
  </si>
  <si>
    <t>2018-09-19</t>
  </si>
  <si>
    <t>EMP1171</t>
  </si>
  <si>
    <t>2019-04-17</t>
  </si>
  <si>
    <t>EMP1055</t>
  </si>
  <si>
    <t>2024-03-06</t>
  </si>
  <si>
    <t>EMP1567</t>
  </si>
  <si>
    <t>2023-03-26</t>
  </si>
  <si>
    <t>EMP1430</t>
  </si>
  <si>
    <t>2026-01-08</t>
  </si>
  <si>
    <t>EMP1382</t>
  </si>
  <si>
    <t>2015-12-18</t>
  </si>
  <si>
    <t>EMP1067</t>
  </si>
  <si>
    <t>2026-01-20</t>
  </si>
  <si>
    <t>EMP1569</t>
  </si>
  <si>
    <t>2025-02-25</t>
  </si>
  <si>
    <t>EMP1205</t>
  </si>
  <si>
    <t>2025-04-19</t>
  </si>
  <si>
    <t>EMP1452</t>
  </si>
  <si>
    <t>2026-01-29</t>
  </si>
  <si>
    <t>EMP1292</t>
  </si>
  <si>
    <t>2024-07-04</t>
  </si>
  <si>
    <t>EMP1121</t>
  </si>
  <si>
    <t>2022-04-17</t>
  </si>
  <si>
    <t>EMP1314</t>
  </si>
  <si>
    <t>2023-04-09</t>
  </si>
  <si>
    <t>EMP1241</t>
  </si>
  <si>
    <t>2024-06-06</t>
  </si>
  <si>
    <t>EMP1174</t>
  </si>
  <si>
    <t>2019-01-02</t>
  </si>
  <si>
    <t>EMP1467</t>
  </si>
  <si>
    <t>2025-12-08</t>
  </si>
  <si>
    <t>EMP1455</t>
  </si>
  <si>
    <t>2022-09-27</t>
  </si>
  <si>
    <t>EMP1519</t>
  </si>
  <si>
    <t>2021-02-14</t>
  </si>
  <si>
    <t>EMP1418</t>
  </si>
  <si>
    <t>2017-10-24</t>
  </si>
  <si>
    <t>EMP1119</t>
  </si>
  <si>
    <t>2023-10-21</t>
  </si>
  <si>
    <t>EMP1120</t>
  </si>
  <si>
    <t>2021-05-08</t>
  </si>
  <si>
    <t>EMP1597</t>
  </si>
  <si>
    <t>2022-06-12</t>
  </si>
  <si>
    <t>EMP1407</t>
  </si>
  <si>
    <t>2024-04-21</t>
  </si>
  <si>
    <t>EMP1215</t>
  </si>
  <si>
    <t>2026-01-27</t>
  </si>
  <si>
    <t>EMP1139</t>
  </si>
  <si>
    <t>2022-01-15</t>
  </si>
  <si>
    <t>EMP1146</t>
  </si>
  <si>
    <t>2025-05-29</t>
  </si>
  <si>
    <t>EMP1149</t>
  </si>
  <si>
    <t>2024-09-25</t>
  </si>
  <si>
    <t>EMP1478</t>
  </si>
  <si>
    <t>2024-12-29</t>
  </si>
  <si>
    <t>EMP1305</t>
  </si>
  <si>
    <t>2026-06-19</t>
  </si>
  <si>
    <t>EMP1163</t>
  </si>
  <si>
    <t>2025-04-10</t>
  </si>
  <si>
    <t>EMP1494</t>
  </si>
  <si>
    <t>2019-07-09</t>
  </si>
  <si>
    <t>EMP1395</t>
  </si>
  <si>
    <t>2026-03-20</t>
  </si>
  <si>
    <t>EMP1480</t>
  </si>
  <si>
    <t>2023-12-10</t>
  </si>
  <si>
    <t>EMP1151</t>
  </si>
  <si>
    <t>EMP1371</t>
  </si>
  <si>
    <t>2020-11-24</t>
  </si>
  <si>
    <t>EMP1223</t>
  </si>
  <si>
    <t>2020-12-14</t>
  </si>
  <si>
    <t>EMP1032</t>
  </si>
  <si>
    <t>2026-05-15</t>
  </si>
  <si>
    <t>EMP1340</t>
  </si>
  <si>
    <t>2026-04-04</t>
  </si>
  <si>
    <t>EMP1281</t>
  </si>
  <si>
    <t>2017-04-23</t>
  </si>
  <si>
    <t>EMP1021</t>
  </si>
  <si>
    <t>2026-03-17</t>
  </si>
  <si>
    <t>EMP1114</t>
  </si>
  <si>
    <t>2026-01-05</t>
  </si>
  <si>
    <t>EMP1355</t>
  </si>
  <si>
    <t>2025-06-06</t>
  </si>
  <si>
    <t>EMP1001</t>
  </si>
  <si>
    <t>2026-03-24</t>
  </si>
  <si>
    <t>EMP1552</t>
  </si>
  <si>
    <t>2022-10-31</t>
  </si>
  <si>
    <t>EMP1322</t>
  </si>
  <si>
    <t>2021-06-23</t>
  </si>
  <si>
    <t>EMP1549</t>
  </si>
  <si>
    <t>2026-01-14</t>
  </si>
  <si>
    <t>EMP1230</t>
  </si>
  <si>
    <t>2026-04-17</t>
  </si>
  <si>
    <t>EMP1529</t>
  </si>
  <si>
    <t>2023-11-24</t>
  </si>
  <si>
    <t>EMP1581</t>
  </si>
  <si>
    <t>2026-06-09</t>
  </si>
  <si>
    <t>EMP1059</t>
  </si>
  <si>
    <t>2025-11-01</t>
  </si>
  <si>
    <t>EMP1384</t>
  </si>
  <si>
    <t>EMP1323</t>
  </si>
  <si>
    <t>2022-09-25</t>
  </si>
  <si>
    <t>EMP1005</t>
  </si>
  <si>
    <t>2025-01-04</t>
  </si>
  <si>
    <t>EMP1393</t>
  </si>
  <si>
    <t>2025-05-09</t>
  </si>
  <si>
    <t>EMP1501</t>
  </si>
  <si>
    <t>2024-09-29</t>
  </si>
  <si>
    <t>EMP1075</t>
  </si>
  <si>
    <t>2023-06-29</t>
  </si>
  <si>
    <t>EMP1192</t>
  </si>
  <si>
    <t>2021-11-06</t>
  </si>
  <si>
    <t>EMP1236</t>
  </si>
  <si>
    <t>2020-02-01</t>
  </si>
  <si>
    <t>EMP1546</t>
  </si>
  <si>
    <t>2025-12-31</t>
  </si>
  <si>
    <t>EMP1259</t>
  </si>
  <si>
    <t>2021-12-17</t>
  </si>
  <si>
    <t>EMP1081</t>
  </si>
  <si>
    <t>2018-09-26</t>
  </si>
  <si>
    <t>EMP1396</t>
  </si>
  <si>
    <t>2018-10-24</t>
  </si>
  <si>
    <t>EMP1217</t>
  </si>
  <si>
    <t>EMP1391</t>
  </si>
  <si>
    <t>2024-05-10</t>
  </si>
  <si>
    <t>EMP1492</t>
  </si>
  <si>
    <t>EMP1331</t>
  </si>
  <si>
    <t>2026-07-08</t>
  </si>
  <si>
    <t>EMP1058</t>
  </si>
  <si>
    <t>EMP1526</t>
  </si>
  <si>
    <t>EMP1109</t>
  </si>
  <si>
    <t>2022-01-12</t>
  </si>
  <si>
    <t>EMP1274</t>
  </si>
  <si>
    <t>EMP1148</t>
  </si>
  <si>
    <t>2019-05-09</t>
  </si>
  <si>
    <t>EMP1229</t>
  </si>
  <si>
    <t>2022-05-12</t>
  </si>
  <si>
    <t>EMP1015</t>
  </si>
  <si>
    <t>2021-10-25</t>
  </si>
  <si>
    <t>EMP1175</t>
  </si>
  <si>
    <t>2014-01-14</t>
  </si>
  <si>
    <t>EMP1087</t>
  </si>
  <si>
    <t>2024-11-09</t>
  </si>
  <si>
    <t>EMP1115</t>
  </si>
  <si>
    <t>2023-06-05</t>
  </si>
  <si>
    <t>EMP1166</t>
  </si>
  <si>
    <t>2025-01-25</t>
  </si>
  <si>
    <t>EMP1528</t>
  </si>
  <si>
    <t>2026-01-22</t>
  </si>
  <si>
    <t>EMP1368</t>
  </si>
  <si>
    <t>2022-03-13</t>
  </si>
  <si>
    <t>EMP1060</t>
  </si>
  <si>
    <t>EMP1522</t>
  </si>
  <si>
    <t>2025-06-02</t>
  </si>
  <si>
    <t>EMP1165</t>
  </si>
  <si>
    <t>2025-03-18</t>
  </si>
  <si>
    <t>EMP1042</t>
  </si>
  <si>
    <t>2025-02-23</t>
  </si>
  <si>
    <t>EMP1330</t>
  </si>
  <si>
    <t>2021-06-27</t>
  </si>
  <si>
    <t>EMP1080</t>
  </si>
  <si>
    <t>2026-04-22</t>
  </si>
  <si>
    <t>EMP1361</t>
  </si>
  <si>
    <t>2025-05-03</t>
  </si>
  <si>
    <t>EMP1029</t>
  </si>
  <si>
    <t>2023-12-08</t>
  </si>
  <si>
    <t>EMP1282</t>
  </si>
  <si>
    <t>EMP1301</t>
  </si>
  <si>
    <t>2024-06-22</t>
  </si>
  <si>
    <t>EMP1527</t>
  </si>
  <si>
    <t>2021-01-17</t>
  </si>
  <si>
    <t>EMP1599</t>
  </si>
  <si>
    <t>2020-07-04</t>
  </si>
  <si>
    <t>EMP1085</t>
  </si>
  <si>
    <t>2025-11-18</t>
  </si>
  <si>
    <t>EMP1063</t>
  </si>
  <si>
    <t>EMP1588</t>
  </si>
  <si>
    <t>2023-04-26</t>
  </si>
  <si>
    <t>EMP1137</t>
  </si>
  <si>
    <t>2022-04-19</t>
  </si>
  <si>
    <t>EMP1381</t>
  </si>
  <si>
    <t>2025-05-07</t>
  </si>
  <si>
    <t>EMP1044</t>
  </si>
  <si>
    <t>2023-10-15</t>
  </si>
  <si>
    <t>EMP1376</t>
  </si>
  <si>
    <t>2025-11-28</t>
  </si>
  <si>
    <t>EMP1543</t>
  </si>
  <si>
    <t>2026-06-04</t>
  </si>
  <si>
    <t>EMP1219</t>
  </si>
  <si>
    <t>2022-01-28</t>
  </si>
  <si>
    <t>EMP1097</t>
  </si>
  <si>
    <t>2021-01-20</t>
  </si>
  <si>
    <t>EMP1125</t>
  </si>
  <si>
    <t>2019-12-01</t>
  </si>
  <si>
    <t>EMP1571</t>
  </si>
  <si>
    <t>2019-12-08</t>
  </si>
  <si>
    <t>EMP1227</t>
  </si>
  <si>
    <t>2024-12-30</t>
  </si>
  <si>
    <t>EMP1178</t>
  </si>
  <si>
    <t>EMP1411</t>
  </si>
  <si>
    <t>2018-03-21</t>
  </si>
  <si>
    <t>EMP1583</t>
  </si>
  <si>
    <t>2026-03-09</t>
  </si>
  <si>
    <t>EMP1570</t>
  </si>
  <si>
    <t>2022-04-26</t>
  </si>
  <si>
    <t>EMP1104</t>
  </si>
  <si>
    <t>2025-02-07</t>
  </si>
  <si>
    <t>EMP1082</t>
  </si>
  <si>
    <t>2020-01-07</t>
  </si>
  <si>
    <t>EMP1343</t>
  </si>
  <si>
    <t>2026-04-23</t>
  </si>
  <si>
    <t>EMP1442</t>
  </si>
  <si>
    <t>2020-01-27</t>
  </si>
  <si>
    <t>EMP1265</t>
  </si>
  <si>
    <t>2025-09-26</t>
  </si>
  <si>
    <t>EMP1307</t>
  </si>
  <si>
    <t>2016-06-19</t>
  </si>
  <si>
    <t>EMP1228</t>
  </si>
  <si>
    <t>2021-06-25</t>
  </si>
  <si>
    <t>EMP1276</t>
  </si>
  <si>
    <t>2026-01-10</t>
  </si>
  <si>
    <t>EMP1572</t>
  </si>
  <si>
    <t>2021-12-12</t>
  </si>
  <si>
    <t>EMP1264</t>
  </si>
  <si>
    <t>2018-10-07</t>
  </si>
  <si>
    <t>EMP1468</t>
  </si>
  <si>
    <t>2023-12-31</t>
  </si>
  <si>
    <t>EMP1238</t>
  </si>
  <si>
    <t>2025-02-28</t>
  </si>
  <si>
    <t>EMP1561</t>
  </si>
  <si>
    <t>2022-10-10</t>
  </si>
  <si>
    <t>EMP1140</t>
  </si>
  <si>
    <t>2023-07-14</t>
  </si>
  <si>
    <t>EMP1304</t>
  </si>
  <si>
    <t>EMP1268</t>
  </si>
  <si>
    <t>2025-12-21</t>
  </si>
  <si>
    <t>EMP1544</t>
  </si>
  <si>
    <t>2023-12-09</t>
  </si>
  <si>
    <t>EMP1370</t>
  </si>
  <si>
    <t>2025-05-14</t>
  </si>
  <si>
    <t>EMP1213</t>
  </si>
  <si>
    <t>2025-03-20</t>
  </si>
  <si>
    <t>EMP1199</t>
  </si>
  <si>
    <t>EMP1016</t>
  </si>
  <si>
    <t>2025-12-17</t>
  </si>
  <si>
    <t>EMP1164</t>
  </si>
  <si>
    <t>2020-06-17</t>
  </si>
  <si>
    <t>EMP1533</t>
  </si>
  <si>
    <t>2023-03-19</t>
  </si>
  <si>
    <t>EMP1409</t>
  </si>
  <si>
    <t>2023-10-02</t>
  </si>
  <si>
    <t>EMP1038</t>
  </si>
  <si>
    <t>2026-03-27</t>
  </si>
  <si>
    <t>EMP1516</t>
  </si>
  <si>
    <t>EMP1207</t>
  </si>
  <si>
    <t>EMP1296</t>
  </si>
  <si>
    <t>2025-03-12</t>
  </si>
  <si>
    <t>EMP1074</t>
  </si>
  <si>
    <t>2024-04-08</t>
  </si>
  <si>
    <t>EMP1389</t>
  </si>
  <si>
    <t>2026-04-16</t>
  </si>
  <si>
    <t>EMP1105</t>
  </si>
  <si>
    <t>EMP1017</t>
  </si>
  <si>
    <t>2024-09-30</t>
  </si>
  <si>
    <t>EMP1092</t>
  </si>
  <si>
    <t>2001-05-02</t>
  </si>
  <si>
    <t>EMP1089</t>
  </si>
  <si>
    <t>2026-06-16</t>
  </si>
  <si>
    <t>EMP1493</t>
  </si>
  <si>
    <t>2018-07-02</t>
  </si>
  <si>
    <t>EMP1206</t>
  </si>
  <si>
    <t>2023-07-05</t>
  </si>
  <si>
    <t>EMP1103</t>
  </si>
  <si>
    <t>2024-04-19</t>
  </si>
  <si>
    <t>EMP1239</t>
  </si>
  <si>
    <t>2026-06-05</t>
  </si>
  <si>
    <t>EMP1386</t>
  </si>
  <si>
    <t>2026-05-24</t>
  </si>
  <si>
    <t>EMP1247</t>
  </si>
  <si>
    <t>2026-06-14</t>
  </si>
  <si>
    <t>EMP1158</t>
  </si>
  <si>
    <t>2020-03-02</t>
  </si>
  <si>
    <t>EMP1327</t>
  </si>
  <si>
    <t>2024-10-18</t>
  </si>
  <si>
    <t>EMP1548</t>
  </si>
  <si>
    <t>2019-12-20</t>
  </si>
  <si>
    <t>EMP1019</t>
  </si>
  <si>
    <t>2019-03-10</t>
  </si>
  <si>
    <t>EMP1473</t>
  </si>
  <si>
    <t>2026-07-04</t>
  </si>
  <si>
    <t>EMP1491</t>
  </si>
  <si>
    <t>2020-11-28</t>
  </si>
  <si>
    <t>EMP1352</t>
  </si>
  <si>
    <t>2023-04-14</t>
  </si>
  <si>
    <t>EMP1275</t>
  </si>
  <si>
    <t>2025-03-04</t>
  </si>
  <si>
    <t>EMP1462</t>
  </si>
  <si>
    <t>2023-05-08</t>
  </si>
  <si>
    <t>EMP1537</t>
  </si>
  <si>
    <t>EMP1312</t>
  </si>
  <si>
    <t>2025-02-01</t>
  </si>
  <si>
    <t>EMP1436</t>
  </si>
  <si>
    <t>EMP1490</t>
  </si>
  <si>
    <t>EMP1269</t>
  </si>
  <si>
    <t>2019-10-28</t>
  </si>
  <si>
    <t>EMP1035</t>
  </si>
  <si>
    <t>EMP1182</t>
  </si>
  <si>
    <t>2017-11-29</t>
  </si>
  <si>
    <t>EMP1185</t>
  </si>
  <si>
    <t>2025-10-16</t>
  </si>
  <si>
    <t>EMP1208</t>
  </si>
  <si>
    <t>2012-05-27</t>
  </si>
  <si>
    <t>EMP1095</t>
  </si>
  <si>
    <t>2021-05-14</t>
  </si>
  <si>
    <t>EMP1520</t>
  </si>
  <si>
    <t>2016-10-30</t>
  </si>
  <si>
    <t>EMP1417</t>
  </si>
  <si>
    <t>EMP1354</t>
  </si>
  <si>
    <t>2022-05-09</t>
  </si>
  <si>
    <t>EMP1123</t>
  </si>
  <si>
    <t>2024-11-05</t>
  </si>
  <si>
    <t>EMP1471</t>
  </si>
  <si>
    <t>EMP1079</t>
  </si>
  <si>
    <t>2017-06-08</t>
  </si>
  <si>
    <t>EMP1351</t>
  </si>
  <si>
    <t>2022-04-06</t>
  </si>
  <si>
    <t>EMP1062</t>
  </si>
  <si>
    <t>EMP1252</t>
  </si>
  <si>
    <t>2020-07-07</t>
  </si>
  <si>
    <t>EMP1126</t>
  </si>
  <si>
    <t>2018-06-05</t>
  </si>
  <si>
    <t>EMP1440</t>
  </si>
  <si>
    <t>2024-01-31</t>
  </si>
  <si>
    <t>EMP1437</t>
  </si>
  <si>
    <t>2013-10-15</t>
  </si>
  <si>
    <t>EMP1593</t>
  </si>
  <si>
    <t>2023-05-22</t>
  </si>
  <si>
    <t>EMP1348</t>
  </si>
  <si>
    <t>2022-12-15</t>
  </si>
  <si>
    <t>EMP1486</t>
  </si>
  <si>
    <t>2026-05-23</t>
  </si>
  <si>
    <t>EMP1575</t>
  </si>
  <si>
    <t>EMP1388</t>
  </si>
  <si>
    <t>2024-11-20</t>
  </si>
  <si>
    <t>EMP1068</t>
  </si>
  <si>
    <t>2025-05-01</t>
  </si>
  <si>
    <t>EMP1025</t>
  </si>
  <si>
    <t>2023-02-05</t>
  </si>
  <si>
    <t>EMP1454</t>
  </si>
  <si>
    <t>2024-05-28</t>
  </si>
  <si>
    <t>EMP1499</t>
  </si>
  <si>
    <t>2024-06-20</t>
  </si>
  <si>
    <t>EMP1127</t>
  </si>
  <si>
    <t>EMP1542</t>
  </si>
  <si>
    <t>2023-12-19</t>
  </si>
  <si>
    <t>EMP1335</t>
  </si>
  <si>
    <t>2023-05-15</t>
  </si>
  <si>
    <t>EMP1576</t>
  </si>
  <si>
    <t>2017-07-05</t>
  </si>
  <si>
    <t>EMP1179</t>
  </si>
  <si>
    <t>2025-10-28</t>
  </si>
  <si>
    <t>EMP1469</t>
  </si>
  <si>
    <t>2024-07-12</t>
  </si>
  <si>
    <t>EMP1559</t>
  </si>
  <si>
    <t>2025-06-27</t>
  </si>
  <si>
    <t>EMP1136</t>
  </si>
  <si>
    <t>EMP1224</t>
  </si>
  <si>
    <t>2024-01-27</t>
  </si>
  <si>
    <t>EMP1596</t>
  </si>
  <si>
    <t>2025-12-20</t>
  </si>
  <si>
    <t>EMP1562</t>
  </si>
  <si>
    <t>2025-10-03</t>
  </si>
  <si>
    <t>EMP1502</t>
  </si>
  <si>
    <t>2026-03-05</t>
  </si>
  <si>
    <t>EMP1094</t>
  </si>
  <si>
    <t>2013-05-13</t>
  </si>
  <si>
    <t>EMP1479</t>
  </si>
  <si>
    <t>2019-10-10</t>
  </si>
  <si>
    <t>EMP1070</t>
  </si>
  <si>
    <t>EMP1037</t>
  </si>
  <si>
    <t>2022-03-11</t>
  </si>
  <si>
    <t>EMP1297</t>
  </si>
  <si>
    <t>2025-10-08</t>
  </si>
  <si>
    <t>EMP1161</t>
  </si>
  <si>
    <t>2013-02-11</t>
  </si>
  <si>
    <t>EMP1363</t>
  </si>
  <si>
    <t>2024-10-07</t>
  </si>
  <si>
    <t>EMP1012</t>
  </si>
  <si>
    <t>2025-12-24</t>
  </si>
  <si>
    <t>EMP1145</t>
  </si>
  <si>
    <t>2025-07-07</t>
  </si>
  <si>
    <t>EMP1504</t>
  </si>
  <si>
    <t>2009-05-05</t>
  </si>
  <si>
    <t>EMP1128</t>
  </si>
  <si>
    <t>2026-02-05</t>
  </si>
  <si>
    <t>EMP1404</t>
  </si>
  <si>
    <t>2022-04-27</t>
  </si>
  <si>
    <t>EMP1303</t>
  </si>
  <si>
    <t>2026-02-14</t>
  </si>
  <si>
    <t>EMP1010</t>
  </si>
  <si>
    <t>2025-01-18</t>
  </si>
  <si>
    <t>EMP1524</t>
  </si>
  <si>
    <t>EMP1177</t>
  </si>
  <si>
    <t>2022-02-16</t>
  </si>
  <si>
    <t>EMP1232</t>
  </si>
  <si>
    <t>2021-01-10</t>
  </si>
  <si>
    <t>EMP1211</t>
  </si>
  <si>
    <t>EMP1129</t>
  </si>
  <si>
    <t>2024-04-30</t>
  </si>
  <si>
    <t>EMP1144</t>
  </si>
  <si>
    <t>2024-10-31</t>
  </si>
  <si>
    <t>EMP1242</t>
  </si>
  <si>
    <t>2021-06-16</t>
  </si>
  <si>
    <t>EMP1299</t>
  </si>
  <si>
    <t>2024-03-17</t>
  </si>
  <si>
    <t>EMP1311</t>
  </si>
  <si>
    <t>EMP1255</t>
  </si>
  <si>
    <t>EMP1521</t>
  </si>
  <si>
    <t>2019-12-17</t>
  </si>
  <si>
    <t>EMP1532</t>
  </si>
  <si>
    <t>2022-04-10</t>
  </si>
  <si>
    <t>EMP1009</t>
  </si>
  <si>
    <t>EMP1157</t>
  </si>
  <si>
    <t>2026-02-21</t>
  </si>
  <si>
    <t>EMP1028</t>
  </si>
  <si>
    <t>EMP1315</t>
  </si>
  <si>
    <t>2024-03-20</t>
  </si>
  <si>
    <t>EMP1065</t>
  </si>
  <si>
    <t>2022-05-16</t>
  </si>
  <si>
    <t>EMP1460</t>
  </si>
  <si>
    <t>2015-07-15</t>
  </si>
  <si>
    <t>EMP1256</t>
  </si>
  <si>
    <t>2025-06-09</t>
  </si>
  <si>
    <t>EMP1450</t>
  </si>
  <si>
    <t>2019-06-05</t>
  </si>
  <si>
    <t>EMP1154</t>
  </si>
  <si>
    <t>2024-01-11</t>
  </si>
  <si>
    <t>EMP1049</t>
  </si>
  <si>
    <t>2024-05-04</t>
  </si>
  <si>
    <t>EMP1209</t>
  </si>
  <si>
    <t>EMP1446</t>
  </si>
  <si>
    <t>2025-02-09</t>
  </si>
  <si>
    <t>EMP1288</t>
  </si>
  <si>
    <t>2023-09-29</t>
  </si>
  <si>
    <t>EMP1002</t>
  </si>
  <si>
    <t>2024-10-19</t>
  </si>
  <si>
    <t>EMP1428</t>
  </si>
  <si>
    <t>2024-01-14</t>
  </si>
  <si>
    <t>EMP1342</t>
  </si>
  <si>
    <t>2024-01-05</t>
  </si>
  <si>
    <t>EMP1266</t>
  </si>
  <si>
    <t>2020-11-05</t>
  </si>
  <si>
    <t>EMP1545</t>
  </si>
  <si>
    <t>2017-01-21</t>
  </si>
  <si>
    <t>EMP1464</t>
  </si>
  <si>
    <t>2025-01-12</t>
  </si>
  <si>
    <t>EMP1474</t>
  </si>
  <si>
    <t>2024-06-09</t>
  </si>
  <si>
    <t>EMP1369</t>
  </si>
  <si>
    <t>2025-07-10</t>
  </si>
  <si>
    <t>EMP1096</t>
  </si>
  <si>
    <t>2026-06-30</t>
  </si>
  <si>
    <t>EMP1579</t>
  </si>
  <si>
    <t>EMP1353</t>
  </si>
  <si>
    <t>EMP1043</t>
  </si>
  <si>
    <t>EMP1362</t>
  </si>
  <si>
    <t>2025-03-03</t>
  </si>
  <si>
    <t>EMP1600</t>
  </si>
  <si>
    <t>2024-12-13</t>
  </si>
  <si>
    <t>EMP1425</t>
  </si>
  <si>
    <t>2020-12-01</t>
  </si>
  <si>
    <t>EMP1046</t>
  </si>
  <si>
    <t>2019-10-18</t>
  </si>
  <si>
    <t>EMP1162</t>
  </si>
  <si>
    <t>2026-05-17</t>
  </si>
  <si>
    <t>EMP1531</t>
  </si>
  <si>
    <t>2017-03-29</t>
  </si>
  <si>
    <t>EMP1118</t>
  </si>
  <si>
    <t>EMP1289</t>
  </si>
  <si>
    <t>2020-02-08</t>
  </si>
  <si>
    <t>EMP1078</t>
  </si>
  <si>
    <t>2013-10-05</t>
  </si>
  <si>
    <t>EMP1535</t>
  </si>
  <si>
    <t>2026-02-19</t>
  </si>
  <si>
    <t>EMP1390</t>
  </si>
  <si>
    <t>2019-06-10</t>
  </si>
  <si>
    <t>EMP1568</t>
  </si>
  <si>
    <t>2023-02-20</t>
  </si>
  <si>
    <t>EMP1413</t>
  </si>
  <si>
    <t>2022-09-30</t>
  </si>
  <si>
    <t>EMP1339</t>
  </si>
  <si>
    <t>2019-10-25</t>
  </si>
  <si>
    <t>EMP1316</t>
  </si>
  <si>
    <t>2025-02-13</t>
  </si>
  <si>
    <t>EMP1300</t>
  </si>
  <si>
    <t>2023-11-08</t>
  </si>
  <si>
    <t>EMP1400</t>
  </si>
  <si>
    <t>EMP1231</t>
  </si>
  <si>
    <t>2026-01-23</t>
  </si>
  <si>
    <t>EMP1298</t>
  </si>
  <si>
    <t>EMP1187</t>
  </si>
  <si>
    <t>2018-12-30</t>
  </si>
  <si>
    <t>EMP1481</t>
  </si>
  <si>
    <t>2018-12-16</t>
  </si>
  <si>
    <t>EMP1200</t>
  </si>
  <si>
    <t>2015-10-19</t>
  </si>
  <si>
    <t>EMP1421</t>
  </si>
  <si>
    <t>2024-05-15</t>
  </si>
  <si>
    <t>EMP1366</t>
  </si>
  <si>
    <t>2025-11-03</t>
  </si>
  <si>
    <t>EMP1488</t>
  </si>
  <si>
    <t>EMP1397</t>
  </si>
  <si>
    <t>2024-10-08</t>
  </si>
  <si>
    <t>EMP1122</t>
  </si>
  <si>
    <t>2023-06-02</t>
  </si>
  <si>
    <t>EMP1582</t>
  </si>
  <si>
    <t>2020-03-21</t>
  </si>
  <si>
    <t>EMP1248</t>
  </si>
  <si>
    <t>2022-04-02</t>
  </si>
  <si>
    <t>EMP1308</t>
  </si>
  <si>
    <t>2025-03-29</t>
  </si>
  <si>
    <t>EMP1578</t>
  </si>
  <si>
    <t>2017-10-22</t>
  </si>
  <si>
    <t>EMP1497</t>
  </si>
  <si>
    <t>2025-07-06</t>
  </si>
  <si>
    <t>EMP1364</t>
  </si>
  <si>
    <t>2025-07-12</t>
  </si>
  <si>
    <t>EMP1159</t>
  </si>
  <si>
    <t>2022-12-24</t>
  </si>
  <si>
    <t>EMP1086</t>
  </si>
  <si>
    <t>2023-09-18</t>
  </si>
  <si>
    <t>EMP1470</t>
  </si>
  <si>
    <t>2025-03-08</t>
  </si>
  <si>
    <t>EMP1226</t>
  </si>
  <si>
    <t>2025-04-30</t>
  </si>
  <si>
    <t>EMP1377</t>
  </si>
  <si>
    <t>2016-09-23</t>
  </si>
  <si>
    <t>EMP1263</t>
  </si>
  <si>
    <t>2015-03-29</t>
  </si>
  <si>
    <t>EMP1332</t>
  </si>
  <si>
    <t>2024-06-23</t>
  </si>
  <si>
    <t>EMP1234</t>
  </si>
  <si>
    <t>2024-05-01</t>
  </si>
  <si>
    <t>EMP1077</t>
  </si>
  <si>
    <t>2024-10-01</t>
  </si>
  <si>
    <t>EMP1476</t>
  </si>
  <si>
    <t>2025-05-13</t>
  </si>
  <si>
    <t>EMP1534</t>
  </si>
  <si>
    <t>2022-06-22</t>
  </si>
  <si>
    <t>EMP1150</t>
  </si>
  <si>
    <t>2007-12-12</t>
  </si>
  <si>
    <t>EMP1088</t>
  </si>
  <si>
    <t>2026-06-28</t>
  </si>
  <si>
    <t>EMP1458</t>
  </si>
  <si>
    <t>2025-06-26</t>
  </si>
  <si>
    <t>EMP1183</t>
  </si>
  <si>
    <t>2023-06-07</t>
  </si>
  <si>
    <t>EMP1477</t>
  </si>
  <si>
    <t>2021-03-01</t>
  </si>
  <si>
    <t>EMP1514</t>
  </si>
  <si>
    <t>2025-12-18</t>
  </si>
  <si>
    <t>EMP1106</t>
  </si>
  <si>
    <t>2025-11-04</t>
  </si>
  <si>
    <t>EMP1333</t>
  </si>
  <si>
    <t>2015-12-05</t>
  </si>
  <si>
    <t>EMP1439</t>
  </si>
  <si>
    <t>EMP1050</t>
  </si>
  <si>
    <t>2015-11-02</t>
  </si>
  <si>
    <t>EMP1336</t>
  </si>
  <si>
    <t>2021-04-24</t>
  </si>
  <si>
    <t>EMP1006</t>
  </si>
  <si>
    <t>2019-12-29</t>
  </si>
  <si>
    <t>EMP1018</t>
  </si>
  <si>
    <t>2026-02-23</t>
  </si>
  <si>
    <t>EMP1235</t>
  </si>
  <si>
    <t>2025-10-14</t>
  </si>
  <si>
    <t>EMP1487</t>
  </si>
  <si>
    <t>2022-05-29</t>
  </si>
  <si>
    <t>EMP1540</t>
  </si>
  <si>
    <t>EMP1498</t>
  </si>
  <si>
    <t>2023-10-20</t>
  </si>
  <si>
    <t>EMP1373</t>
  </si>
  <si>
    <t>2025-04-20</t>
  </si>
  <si>
    <t>EMP1111</t>
  </si>
  <si>
    <t>EMP1107</t>
  </si>
  <si>
    <t>2023-04-20</t>
  </si>
  <si>
    <t>EMP1444</t>
  </si>
  <si>
    <t>EMP1489</t>
  </si>
  <si>
    <t>2025-11-21</t>
  </si>
  <si>
    <t>EMP1013</t>
  </si>
  <si>
    <t>EMP1191</t>
  </si>
  <si>
    <t>2022-10-02</t>
  </si>
  <si>
    <t>EMP1283</t>
  </si>
  <si>
    <t>2026-06-25</t>
  </si>
  <si>
    <t>EMP1030</t>
  </si>
  <si>
    <t>2023-01-19</t>
  </si>
  <si>
    <t>EMP1170</t>
  </si>
  <si>
    <t>2018-06-25</t>
  </si>
  <si>
    <t>EMP1181</t>
  </si>
  <si>
    <t>2024-04-13</t>
  </si>
  <si>
    <t>EMP1101</t>
  </si>
  <si>
    <t>2017-10-25</t>
  </si>
  <si>
    <t>EMP1198</t>
  </si>
  <si>
    <t>2026-06-06</t>
  </si>
  <si>
    <t>EMP1496</t>
  </si>
  <si>
    <t>2025-05-30</t>
  </si>
  <si>
    <t>EMP1598</t>
  </si>
  <si>
    <t>2022-05-03</t>
  </si>
  <si>
    <t>EMP1461</t>
  </si>
  <si>
    <t>2021-07-06</t>
  </si>
  <si>
    <t>EMP1414</t>
  </si>
  <si>
    <t>2025-03-28</t>
  </si>
  <si>
    <t>EMP1132</t>
  </si>
  <si>
    <t>EMP1040</t>
  </si>
  <si>
    <t>2026-06-08</t>
  </si>
  <si>
    <t>EMP1435</t>
  </si>
  <si>
    <t>EMP1216</t>
  </si>
  <si>
    <t>2025-11-12</t>
  </si>
  <si>
    <t>EMP1475</t>
  </si>
  <si>
    <t>2022-11-05</t>
  </si>
  <si>
    <t>EMP1457</t>
  </si>
  <si>
    <t>2022-02-28</t>
  </si>
  <si>
    <t>EMP1261</t>
  </si>
  <si>
    <t>2025-11-19</t>
  </si>
  <si>
    <t>EMP1036</t>
  </si>
  <si>
    <t>2024-06-08</t>
  </si>
  <si>
    <t>EMP1310</t>
  </si>
  <si>
    <t>2016-10-02</t>
  </si>
  <si>
    <t>EMP1277</t>
  </si>
  <si>
    <t>2023-01-27</t>
  </si>
  <si>
    <t>EMP1394</t>
  </si>
  <si>
    <t>EMP1108</t>
  </si>
  <si>
    <t>2022-10-18</t>
  </si>
  <si>
    <t>EMP1566</t>
  </si>
  <si>
    <t>2022-07-12</t>
  </si>
  <si>
    <t>EMP1525</t>
  </si>
  <si>
    <t>EMP1204</t>
  </si>
  <si>
    <t>EMP1022</t>
  </si>
  <si>
    <t>2025-02-06</t>
  </si>
  <si>
    <t>EMP1403</t>
  </si>
  <si>
    <t>2016-06-12</t>
  </si>
  <si>
    <t>EMP1131</t>
  </si>
  <si>
    <t>2022-12-29</t>
  </si>
  <si>
    <t>EMP1287</t>
  </si>
  <si>
    <t>2023-10-09</t>
  </si>
  <si>
    <t>EMP1124</t>
  </si>
  <si>
    <t>2024-05-18</t>
  </si>
  <si>
    <t>EMP1034</t>
  </si>
  <si>
    <t>2021-09-23</t>
  </si>
  <si>
    <t>EMP1517</t>
  </si>
  <si>
    <t>2018-11-30</t>
  </si>
  <si>
    <t>EMP1020</t>
  </si>
  <si>
    <t>2020-04-12</t>
  </si>
  <si>
    <t>EMP1556</t>
  </si>
  <si>
    <t>2025-02-04</t>
  </si>
  <si>
    <t>EMP1220</t>
  </si>
  <si>
    <t>2025-05-26</t>
  </si>
  <si>
    <t>EMP1482</t>
  </si>
  <si>
    <t>2012-03-07</t>
  </si>
  <si>
    <t>EMP1357</t>
  </si>
  <si>
    <t>EMP1225</t>
  </si>
  <si>
    <t>2026-03-10</t>
  </si>
  <si>
    <t>EMP1093</t>
  </si>
  <si>
    <t>EMP1152</t>
  </si>
  <si>
    <t>2026-04-03</t>
  </si>
  <si>
    <t>EMP1591</t>
  </si>
  <si>
    <t>2025-12-07</t>
  </si>
  <si>
    <t>EMP1318</t>
  </si>
  <si>
    <t>2022-01-04</t>
  </si>
  <si>
    <t>EMP1449</t>
  </si>
  <si>
    <t>2019-06-11</t>
  </si>
  <si>
    <t>EMP1523</t>
  </si>
  <si>
    <t>2025-06-30</t>
  </si>
  <si>
    <t>EMP1280</t>
  </si>
  <si>
    <t>2019-05-04</t>
  </si>
  <si>
    <t>EMP1350</t>
  </si>
  <si>
    <t>2025-11-25</t>
  </si>
  <si>
    <t>EMP1375</t>
  </si>
  <si>
    <t>2022-12-26</t>
  </si>
  <si>
    <t>EMP1401</t>
  </si>
  <si>
    <t>2009-05-20</t>
  </si>
  <si>
    <t>EMP1258</t>
  </si>
  <si>
    <t>2026-02-27</t>
  </si>
  <si>
    <t>EMP1073</t>
  </si>
  <si>
    <t>2016-03-07</t>
  </si>
  <si>
    <t>EMP1196</t>
  </si>
  <si>
    <t>2017-06-16</t>
  </si>
  <si>
    <t>EMP1484</t>
  </si>
  <si>
    <t>EMP1495</t>
  </si>
  <si>
    <t>2026-04-06</t>
  </si>
  <si>
    <t>EMP1551</t>
  </si>
  <si>
    <t>2024-11-02</t>
  </si>
  <si>
    <t>EMP1463</t>
  </si>
  <si>
    <t>EMP1202</t>
  </si>
  <si>
    <t>2024-10-22</t>
  </si>
  <si>
    <t>EMP1313</t>
  </si>
  <si>
    <t>2010-01-12</t>
  </si>
  <si>
    <t>EMP1291</t>
  </si>
  <si>
    <t>2026-01-24</t>
  </si>
  <si>
    <t>EMP1190</t>
  </si>
  <si>
    <t>2024-01-13</t>
  </si>
  <si>
    <t>EMP1113</t>
  </si>
  <si>
    <t>2016-01-06</t>
  </si>
  <si>
    <t>EMP1153</t>
  </si>
  <si>
    <t>2023-10-22</t>
  </si>
  <si>
    <t>EMP1326</t>
  </si>
  <si>
    <t>EMP1045</t>
  </si>
  <si>
    <t>2023-07-07</t>
  </si>
  <si>
    <t>EMP1445</t>
  </si>
  <si>
    <t>2024-04-23</t>
  </si>
  <si>
    <t>EMP1007</t>
  </si>
  <si>
    <t>2026-05-29</t>
  </si>
  <si>
    <t>EMP1251</t>
  </si>
  <si>
    <t>2026-01-06</t>
  </si>
  <si>
    <t>EMP1076</t>
  </si>
  <si>
    <t>EMP1513</t>
  </si>
  <si>
    <t>2021-07-10</t>
  </si>
  <si>
    <t>EMP1392</t>
  </si>
  <si>
    <t>2023-01-09</t>
  </si>
  <si>
    <t>EMP1433</t>
  </si>
  <si>
    <t>2015-01-22</t>
  </si>
  <si>
    <t>EMP1069</t>
  </si>
  <si>
    <t>EMP1168</t>
  </si>
  <si>
    <t>2019-10-07</t>
  </si>
  <si>
    <t>EMP1555</t>
  </si>
  <si>
    <t>2023-04-25</t>
  </si>
  <si>
    <t>EMP1367</t>
  </si>
  <si>
    <t>2011-12-25</t>
  </si>
  <si>
    <t>EMP1346</t>
  </si>
  <si>
    <t>2014-02-22</t>
  </si>
  <si>
    <t>EMP1585</t>
  </si>
  <si>
    <t>2020-03-24</t>
  </si>
  <si>
    <t>EMP1536</t>
  </si>
  <si>
    <t>2025-10-20</t>
  </si>
  <si>
    <t>EMP1399</t>
  </si>
  <si>
    <t>2026-03-14</t>
  </si>
  <si>
    <t>EMP1186</t>
  </si>
  <si>
    <t>2020-12-27</t>
  </si>
  <si>
    <t>EMP1349</t>
  </si>
  <si>
    <t>2022-05-27</t>
  </si>
  <si>
    <t>EMP1212</t>
  </si>
  <si>
    <t>EMP1580</t>
  </si>
  <si>
    <t>2019-12-05</t>
  </si>
  <si>
    <t>EMP1503</t>
  </si>
  <si>
    <t>2024-06-12</t>
  </si>
  <si>
    <t>EMP1538</t>
  </si>
  <si>
    <t>2022-11-13</t>
  </si>
  <si>
    <t>EMP1197</t>
  </si>
  <si>
    <t>EMP1176</t>
  </si>
  <si>
    <t>2018-04-09</t>
  </si>
  <si>
    <t>Employee Attrition Analysis — Summary</t>
  </si>
  <si>
    <t>Overall Attrition Rate</t>
  </si>
  <si>
    <t>Stayed (No)</t>
  </si>
  <si>
    <t>Left (Yes)</t>
  </si>
  <si>
    <t>Total</t>
  </si>
  <si>
    <t>Attrition Rate</t>
  </si>
  <si>
    <t>Job Satisfaction</t>
  </si>
  <si>
    <t>Tenure Band (yrs)</t>
  </si>
  <si>
    <t>Employee Attrition Analysis — Findings &amp; Recommendations</t>
  </si>
  <si>
    <t>Business Problem</t>
  </si>
  <si>
    <t>HR leadership noticed turnover creeping up but didn't know which employees were most at risk of leaving or why. This analysis works through 600 cleaned employee records to identify the real drivers of attrition.</t>
  </si>
  <si>
    <t>Method</t>
  </si>
  <si>
    <t>Key Findings</t>
  </si>
  <si>
    <t>2. Low job satisfaction nearly doubles attrition risk compared to moderately satisfied employees.</t>
  </si>
  <si>
    <t>3. Sales has a noticeably higher attrition rate than Human Resources or Research &amp; Development.</t>
  </si>
  <si>
    <t>4. New employees (0-2 years tenure) leave at a substantially higher rate than employees with 10+ years at the company.</t>
  </si>
  <si>
    <t>Recommendations</t>
  </si>
  <si>
    <t>1. Audit overtime distribution, starting with Sales, and address workload imbalances driving burnout.</t>
  </si>
  <si>
    <t>2. Investigate root causes of low job satisfaction scores (e.g. management, workload, growth opportunities) through targeted surveys or exit interviews.</t>
  </si>
  <si>
    <t>3. Build a structured onboarding and check-in process for employees in their first 2 years, since this is the highest-risk tenure window.</t>
  </si>
  <si>
    <t>1. Overtime is the single biggest driver of attrition-employees working overtime leave at more than double the rate of those who don't.</t>
  </si>
  <si>
    <t>Cleaned a raw HR dataset (standardized inconsistent department names, removed duplicate records, handled missing values, corrected invalid hire dates). Calculated attrition rate - Left ÷ (Left + Stayed) - segmented by Department, Overtime status, Job Satisfaction, and Tenure using COUNTIFS formulas.</t>
  </si>
  <si>
    <t xml:space="preserve">Sales </t>
  </si>
  <si>
    <t>EMP1466</t>
  </si>
  <si>
    <t>2022-07-14</t>
  </si>
  <si>
    <t>EMP1156</t>
  </si>
  <si>
    <t>2027-01-15</t>
  </si>
  <si>
    <t>EMP1547</t>
  </si>
  <si>
    <t>2019-04-28</t>
  </si>
  <si>
    <t>Research and Development</t>
  </si>
  <si>
    <t>EMP1053</t>
  </si>
  <si>
    <t>2021-02-06</t>
  </si>
  <si>
    <t xml:space="preserve"> Sales</t>
  </si>
  <si>
    <t>EMP1031</t>
  </si>
  <si>
    <t>EMP1173</t>
  </si>
  <si>
    <t>2022-12-01</t>
  </si>
  <si>
    <t>SALES</t>
  </si>
  <si>
    <t>EMP1345</t>
  </si>
  <si>
    <t>2026-06-18</t>
  </si>
  <si>
    <t>R&amp;D</t>
  </si>
  <si>
    <t>EMP1047</t>
  </si>
  <si>
    <t>2023-12-06</t>
  </si>
  <si>
    <t>EMP1249</t>
  </si>
  <si>
    <t>2023-07-02</t>
  </si>
  <si>
    <t>EMP1587</t>
  </si>
  <si>
    <t>2025-04-22</t>
  </si>
  <si>
    <t>EMP1558</t>
  </si>
  <si>
    <t>2023-05-12</t>
  </si>
  <si>
    <t>EMP1372</t>
  </si>
  <si>
    <t>2025-05-08</t>
  </si>
  <si>
    <t>sales</t>
  </si>
  <si>
    <t>EMP1379</t>
  </si>
  <si>
    <t>2024-01-09</t>
  </si>
  <si>
    <t>research &amp; development</t>
  </si>
  <si>
    <t>EMP1441</t>
  </si>
  <si>
    <t>2024-11-10</t>
  </si>
  <si>
    <t>EMP1592</t>
  </si>
  <si>
    <t>EMP1003</t>
  </si>
  <si>
    <t>2025-06-05</t>
  </si>
  <si>
    <t>EMP1508</t>
  </si>
  <si>
    <t>2026-04-08</t>
  </si>
  <si>
    <t>EMP1027</t>
  </si>
  <si>
    <t>2024-01-24</t>
  </si>
  <si>
    <t>EMP1112</t>
  </si>
  <si>
    <t>EMP1195</t>
  </si>
  <si>
    <t>EMP1130</t>
  </si>
  <si>
    <t>2023-09-22</t>
  </si>
  <si>
    <t>EMP1254</t>
  </si>
  <si>
    <t>EMP1172</t>
  </si>
  <si>
    <t>EMP1530</t>
  </si>
  <si>
    <t>2025-03-26</t>
  </si>
  <si>
    <t>EMP1438</t>
  </si>
  <si>
    <t>2026-03-21</t>
  </si>
  <si>
    <t>EMP1134</t>
  </si>
  <si>
    <t>2023-10-17</t>
  </si>
  <si>
    <t>EMP1398</t>
  </si>
  <si>
    <t>2023-06-14</t>
  </si>
  <si>
    <t>EMP1008</t>
  </si>
  <si>
    <t>EMP1267</t>
  </si>
  <si>
    <t>2023-11-12</t>
  </si>
  <si>
    <t>EMP1270</t>
  </si>
  <si>
    <t>2023-12-15</t>
  </si>
  <si>
    <t>EMP1563</t>
  </si>
  <si>
    <t>2024-10-17</t>
  </si>
  <si>
    <t>EMP1117</t>
  </si>
  <si>
    <t>2024-11-21</t>
  </si>
  <si>
    <t>EMP1064</t>
  </si>
  <si>
    <t>EMP1422</t>
  </si>
  <si>
    <t>2017-09-30</t>
  </si>
  <si>
    <t>EMP1374</t>
  </si>
  <si>
    <t>2016-12-14</t>
  </si>
  <si>
    <t>EMP1048</t>
  </si>
  <si>
    <t>2019-10-11</t>
  </si>
  <si>
    <t>EMP1084</t>
  </si>
  <si>
    <t>2023-06-03</t>
  </si>
  <si>
    <t>EMP1138</t>
  </si>
  <si>
    <t>2013-05-11</t>
  </si>
  <si>
    <t>EMP1184</t>
  </si>
  <si>
    <t>2023-09-25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</si>
</sst>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7" x14ac:knownFonts="1">
    <font>
      <sz val="11"/>
      <color theme="1"/>
      <name val="Calibri"/>
      <family val="2"/>
      <charset val="1"/>
    </font>
    <font>
      <b/>
      <sz val="11"/>
      <color rgb="FFFFFFFF"/>
      <name val="Arial"/>
      <charset val="1"/>
    </font>
    <font>
      <sz val="11"/>
      <name val="Arial"/>
      <charset val="1"/>
    </font>
    <font>
      <b/>
      <sz val="14"/>
      <color rgb="FF1F3864"/>
      <name val="Arial"/>
      <charset val="1"/>
    </font>
    <font>
      <b/>
      <sz val="11"/>
      <name val="Arial"/>
      <charset val="1"/>
    </font>
    <font>
      <b/>
      <sz val="12"/>
      <color rgb="FF1F3864"/>
      <name val="Arial"/>
      <charset val="1"/>
    </font>
    <font>
      <sz val="11"/>
      <color rgb="FF000000"/>
      <name val="Arial"/>
      <charset val="1"/>
    </font>
  </fonts>
  <fills count="3">
    <fill>
      <patternFill patternType="none"/>
    </fill>
    <fill>
      <patternFill patternType="gray125"/>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xf>
    <xf numFmtId="0" fontId="2" fillId="0" borderId="1" xfId="0" applyFont="1" applyBorder="1"/>
    <xf numFmtId="0" fontId="3" fillId="0" borderId="0" xfId="0" applyFont="1"/>
    <xf numFmtId="0" fontId="4" fillId="0" borderId="0" xfId="0" applyFont="1"/>
    <xf numFmtId="164" fontId="5" fillId="0" borderId="0" xfId="0" applyNumberFormat="1" applyFont="1"/>
    <xf numFmtId="0" fontId="0" fillId="0" borderId="1" xfId="0" applyFont="1" applyBorder="1"/>
    <xf numFmtId="164" fontId="0" fillId="0" borderId="1" xfId="0" applyNumberFormat="1" applyBorder="1"/>
    <xf numFmtId="0" fontId="3"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09"/>
  <sheetViews>
    <sheetView tabSelected="1" workbookViewId="0">
      <selection activeCell="R16" sqref="R16"/>
    </sheetView>
  </sheetViews>
  <sheetFormatPr defaultRowHeight="15" x14ac:dyDescent="0.25"/>
  <sheetData>
    <row r="1" spans="1:16" x14ac:dyDescent="0.25">
      <c r="A1" t="s">
        <v>0</v>
      </c>
      <c r="B1" t="s">
        <v>1</v>
      </c>
      <c r="C1" t="s">
        <v>2</v>
      </c>
      <c r="D1" t="s">
        <v>3</v>
      </c>
      <c r="E1" t="s">
        <v>4</v>
      </c>
      <c r="F1" t="s">
        <v>5</v>
      </c>
      <c r="G1" t="s">
        <v>6</v>
      </c>
      <c r="H1" t="s">
        <v>7</v>
      </c>
      <c r="I1" t="s">
        <v>9</v>
      </c>
      <c r="J1" t="s">
        <v>10</v>
      </c>
      <c r="K1" t="s">
        <v>11</v>
      </c>
      <c r="L1" t="s">
        <v>12</v>
      </c>
      <c r="M1" t="s">
        <v>13</v>
      </c>
      <c r="N1" t="s">
        <v>14</v>
      </c>
      <c r="O1" t="s">
        <v>15</v>
      </c>
      <c r="P1" t="s">
        <v>16</v>
      </c>
    </row>
    <row r="2" spans="1:16" x14ac:dyDescent="0.25">
      <c r="A2" t="s">
        <v>17</v>
      </c>
      <c r="B2">
        <v>20</v>
      </c>
      <c r="C2" t="s">
        <v>18</v>
      </c>
      <c r="D2" t="s">
        <v>19</v>
      </c>
      <c r="E2" t="s">
        <v>20</v>
      </c>
      <c r="F2" t="s">
        <v>21</v>
      </c>
      <c r="G2" t="s">
        <v>22</v>
      </c>
      <c r="H2">
        <v>0</v>
      </c>
      <c r="I2">
        <v>14306</v>
      </c>
      <c r="J2">
        <v>10</v>
      </c>
      <c r="K2" t="s">
        <v>24</v>
      </c>
      <c r="L2">
        <v>3</v>
      </c>
      <c r="M2">
        <v>4</v>
      </c>
      <c r="N2">
        <v>4</v>
      </c>
      <c r="O2">
        <v>3</v>
      </c>
      <c r="P2" t="s">
        <v>24</v>
      </c>
    </row>
    <row r="3" spans="1:16" x14ac:dyDescent="0.25">
      <c r="A3" t="s">
        <v>25</v>
      </c>
      <c r="B3">
        <v>27</v>
      </c>
      <c r="C3" t="s">
        <v>26</v>
      </c>
      <c r="D3" t="s">
        <v>27</v>
      </c>
      <c r="E3" t="s">
        <v>28</v>
      </c>
      <c r="F3" t="s">
        <v>29</v>
      </c>
      <c r="G3" t="s">
        <v>30</v>
      </c>
      <c r="H3">
        <v>6</v>
      </c>
      <c r="I3">
        <v>12621</v>
      </c>
      <c r="J3">
        <v>15</v>
      </c>
      <c r="K3" t="s">
        <v>24</v>
      </c>
      <c r="L3">
        <v>4</v>
      </c>
      <c r="M3">
        <v>4</v>
      </c>
      <c r="N3">
        <v>4</v>
      </c>
      <c r="O3">
        <v>3</v>
      </c>
      <c r="P3" t="s">
        <v>24</v>
      </c>
    </row>
    <row r="4" spans="1:16" x14ac:dyDescent="0.25">
      <c r="A4" t="s">
        <v>32</v>
      </c>
      <c r="B4">
        <v>41</v>
      </c>
      <c r="C4" t="s">
        <v>18</v>
      </c>
      <c r="D4" t="s">
        <v>33</v>
      </c>
      <c r="E4" t="s">
        <v>28</v>
      </c>
      <c r="F4" t="s">
        <v>34</v>
      </c>
      <c r="G4" t="s">
        <v>35</v>
      </c>
      <c r="H4">
        <v>0</v>
      </c>
      <c r="I4">
        <v>3321</v>
      </c>
      <c r="J4">
        <v>1</v>
      </c>
      <c r="K4" t="s">
        <v>36</v>
      </c>
      <c r="L4">
        <v>4</v>
      </c>
      <c r="M4">
        <v>4</v>
      </c>
      <c r="N4">
        <v>3</v>
      </c>
      <c r="O4">
        <v>1</v>
      </c>
      <c r="P4" t="s">
        <v>24</v>
      </c>
    </row>
    <row r="5" spans="1:16" x14ac:dyDescent="0.25">
      <c r="A5" t="s">
        <v>37</v>
      </c>
      <c r="B5">
        <v>35</v>
      </c>
      <c r="C5" t="s">
        <v>18</v>
      </c>
      <c r="D5" t="s">
        <v>33</v>
      </c>
      <c r="E5" t="s">
        <v>28</v>
      </c>
      <c r="F5" t="s">
        <v>29</v>
      </c>
      <c r="G5" t="s">
        <v>38</v>
      </c>
      <c r="H5">
        <v>2</v>
      </c>
      <c r="I5">
        <v>12188</v>
      </c>
      <c r="J5">
        <v>1</v>
      </c>
      <c r="K5" t="s">
        <v>24</v>
      </c>
      <c r="L5">
        <v>4</v>
      </c>
      <c r="M5">
        <v>4</v>
      </c>
      <c r="N5">
        <v>4</v>
      </c>
      <c r="O5">
        <v>2</v>
      </c>
      <c r="P5" t="s">
        <v>24</v>
      </c>
    </row>
    <row r="6" spans="1:16" x14ac:dyDescent="0.25">
      <c r="A6" t="s">
        <v>39</v>
      </c>
      <c r="B6">
        <v>32</v>
      </c>
      <c r="C6" t="s">
        <v>18</v>
      </c>
      <c r="D6" t="s">
        <v>33</v>
      </c>
      <c r="E6" t="s">
        <v>20</v>
      </c>
      <c r="F6" t="s">
        <v>40</v>
      </c>
      <c r="G6" t="s">
        <v>41</v>
      </c>
      <c r="H6">
        <v>4</v>
      </c>
      <c r="I6">
        <v>3326</v>
      </c>
      <c r="J6">
        <v>9</v>
      </c>
      <c r="K6" t="s">
        <v>36</v>
      </c>
      <c r="L6">
        <v>3</v>
      </c>
      <c r="M6">
        <v>3</v>
      </c>
      <c r="N6">
        <v>3</v>
      </c>
      <c r="O6">
        <v>2</v>
      </c>
      <c r="P6" t="s">
        <v>36</v>
      </c>
    </row>
    <row r="7" spans="1:16" x14ac:dyDescent="0.25">
      <c r="A7" t="s">
        <v>43</v>
      </c>
      <c r="B7">
        <v>41</v>
      </c>
      <c r="C7" t="s">
        <v>18</v>
      </c>
      <c r="D7" t="s">
        <v>33</v>
      </c>
      <c r="E7" t="s">
        <v>20</v>
      </c>
      <c r="F7" t="s">
        <v>44</v>
      </c>
      <c r="G7" t="s">
        <v>45</v>
      </c>
      <c r="H7">
        <v>0</v>
      </c>
      <c r="I7">
        <v>7359</v>
      </c>
      <c r="J7">
        <v>1</v>
      </c>
      <c r="K7" t="s">
        <v>24</v>
      </c>
      <c r="L7">
        <v>3</v>
      </c>
      <c r="M7">
        <v>4</v>
      </c>
      <c r="N7">
        <v>3</v>
      </c>
      <c r="O7">
        <v>4</v>
      </c>
      <c r="P7" t="s">
        <v>36</v>
      </c>
    </row>
    <row r="8" spans="1:16" x14ac:dyDescent="0.25">
      <c r="A8" t="s">
        <v>46</v>
      </c>
      <c r="B8">
        <v>46</v>
      </c>
      <c r="C8" t="s">
        <v>26</v>
      </c>
      <c r="D8" t="s">
        <v>33</v>
      </c>
      <c r="E8" t="s">
        <v>20</v>
      </c>
      <c r="F8" t="s">
        <v>21</v>
      </c>
      <c r="G8" t="s">
        <v>47</v>
      </c>
      <c r="H8">
        <v>3</v>
      </c>
      <c r="I8">
        <v>10993</v>
      </c>
      <c r="J8">
        <v>9</v>
      </c>
      <c r="K8" t="s">
        <v>36</v>
      </c>
      <c r="L8">
        <v>4</v>
      </c>
      <c r="M8">
        <v>3</v>
      </c>
      <c r="N8">
        <v>3</v>
      </c>
      <c r="O8">
        <v>4</v>
      </c>
      <c r="P8" t="s">
        <v>24</v>
      </c>
    </row>
    <row r="9" spans="1:16" x14ac:dyDescent="0.25">
      <c r="A9" t="s">
        <v>48</v>
      </c>
      <c r="B9">
        <v>38</v>
      </c>
      <c r="C9" t="s">
        <v>26</v>
      </c>
      <c r="D9" t="s">
        <v>33</v>
      </c>
      <c r="E9" t="s">
        <v>20</v>
      </c>
      <c r="F9" t="s">
        <v>44</v>
      </c>
      <c r="G9" t="s">
        <v>49</v>
      </c>
      <c r="H9">
        <v>0</v>
      </c>
      <c r="I9">
        <v>6979</v>
      </c>
      <c r="J9">
        <v>17</v>
      </c>
      <c r="K9" t="s">
        <v>24</v>
      </c>
      <c r="L9">
        <v>3</v>
      </c>
      <c r="M9">
        <v>1</v>
      </c>
      <c r="N9">
        <v>3</v>
      </c>
      <c r="O9">
        <v>0</v>
      </c>
      <c r="P9" t="s">
        <v>24</v>
      </c>
    </row>
    <row r="10" spans="1:16" x14ac:dyDescent="0.25">
      <c r="A10" t="s">
        <v>50</v>
      </c>
      <c r="B10">
        <v>29</v>
      </c>
      <c r="C10" t="s">
        <v>26</v>
      </c>
      <c r="D10" t="s">
        <v>33</v>
      </c>
      <c r="E10" t="s">
        <v>28</v>
      </c>
      <c r="F10" t="s">
        <v>29</v>
      </c>
      <c r="G10" t="s">
        <v>51</v>
      </c>
      <c r="H10">
        <v>4</v>
      </c>
      <c r="I10">
        <v>12571</v>
      </c>
      <c r="J10">
        <v>30</v>
      </c>
      <c r="K10" t="s">
        <v>24</v>
      </c>
      <c r="L10">
        <v>3</v>
      </c>
      <c r="M10">
        <v>3</v>
      </c>
      <c r="N10">
        <v>4</v>
      </c>
      <c r="O10">
        <v>4</v>
      </c>
      <c r="P10" t="s">
        <v>24</v>
      </c>
    </row>
    <row r="11" spans="1:16" x14ac:dyDescent="0.25">
      <c r="A11" t="s">
        <v>52</v>
      </c>
      <c r="B11">
        <v>41</v>
      </c>
      <c r="C11" t="s">
        <v>18</v>
      </c>
      <c r="D11" t="s">
        <v>33</v>
      </c>
      <c r="E11" t="s">
        <v>28</v>
      </c>
      <c r="F11" t="s">
        <v>29</v>
      </c>
      <c r="G11" t="s">
        <v>53</v>
      </c>
      <c r="H11">
        <v>0</v>
      </c>
      <c r="I11">
        <v>13374</v>
      </c>
      <c r="J11">
        <v>13</v>
      </c>
      <c r="K11" t="s">
        <v>36</v>
      </c>
      <c r="L11">
        <v>2</v>
      </c>
      <c r="M11">
        <v>1</v>
      </c>
      <c r="N11">
        <v>3</v>
      </c>
      <c r="O11">
        <v>3</v>
      </c>
      <c r="P11" t="s">
        <v>36</v>
      </c>
    </row>
    <row r="12" spans="1:16" x14ac:dyDescent="0.25">
      <c r="A12" t="s">
        <v>54</v>
      </c>
      <c r="B12">
        <v>22</v>
      </c>
      <c r="C12" t="s">
        <v>26</v>
      </c>
      <c r="D12" t="s">
        <v>19</v>
      </c>
      <c r="E12" t="s">
        <v>28</v>
      </c>
      <c r="F12" t="s">
        <v>29</v>
      </c>
      <c r="G12" t="s">
        <v>55</v>
      </c>
      <c r="H12">
        <v>8</v>
      </c>
      <c r="I12">
        <v>14236</v>
      </c>
      <c r="J12">
        <v>7</v>
      </c>
      <c r="K12" t="s">
        <v>24</v>
      </c>
      <c r="L12">
        <v>3</v>
      </c>
      <c r="M12">
        <v>1</v>
      </c>
      <c r="N12">
        <v>3</v>
      </c>
      <c r="O12">
        <v>3</v>
      </c>
      <c r="P12" t="s">
        <v>24</v>
      </c>
    </row>
    <row r="13" spans="1:16" x14ac:dyDescent="0.25">
      <c r="A13" t="s">
        <v>56</v>
      </c>
      <c r="B13">
        <v>48</v>
      </c>
      <c r="C13" t="s">
        <v>26</v>
      </c>
      <c r="D13" t="s">
        <v>33</v>
      </c>
      <c r="E13" t="s">
        <v>28</v>
      </c>
      <c r="F13" t="s">
        <v>34</v>
      </c>
      <c r="G13" t="s">
        <v>57</v>
      </c>
      <c r="H13">
        <v>1</v>
      </c>
      <c r="I13">
        <v>2620</v>
      </c>
      <c r="J13">
        <v>3</v>
      </c>
      <c r="K13" t="s">
        <v>36</v>
      </c>
      <c r="L13">
        <v>3</v>
      </c>
      <c r="M13">
        <v>4</v>
      </c>
      <c r="N13">
        <v>3</v>
      </c>
      <c r="O13">
        <v>5</v>
      </c>
      <c r="P13" t="s">
        <v>24</v>
      </c>
    </row>
    <row r="14" spans="1:16" x14ac:dyDescent="0.25">
      <c r="A14" t="s">
        <v>58</v>
      </c>
      <c r="B14">
        <v>32</v>
      </c>
      <c r="C14" t="s">
        <v>26</v>
      </c>
      <c r="D14" t="s">
        <v>19</v>
      </c>
      <c r="E14" t="s">
        <v>28</v>
      </c>
      <c r="F14" t="s">
        <v>59</v>
      </c>
      <c r="G14" t="s">
        <v>60</v>
      </c>
      <c r="H14">
        <v>5</v>
      </c>
      <c r="I14">
        <v>4499</v>
      </c>
      <c r="J14">
        <v>3</v>
      </c>
      <c r="K14" t="s">
        <v>24</v>
      </c>
      <c r="L14">
        <v>2</v>
      </c>
      <c r="M14">
        <v>3</v>
      </c>
      <c r="N14">
        <v>3</v>
      </c>
      <c r="O14">
        <v>1</v>
      </c>
      <c r="P14" t="s">
        <v>24</v>
      </c>
    </row>
    <row r="15" spans="1:16" x14ac:dyDescent="0.25">
      <c r="A15" t="s">
        <v>61</v>
      </c>
      <c r="B15">
        <v>28</v>
      </c>
      <c r="C15" t="s">
        <v>26</v>
      </c>
      <c r="D15" t="s">
        <v>33</v>
      </c>
      <c r="E15" t="s">
        <v>20</v>
      </c>
      <c r="F15" t="s">
        <v>44</v>
      </c>
      <c r="G15" t="s">
        <v>62</v>
      </c>
      <c r="H15">
        <v>1</v>
      </c>
      <c r="I15">
        <v>5997</v>
      </c>
      <c r="J15">
        <v>2</v>
      </c>
      <c r="K15" t="s">
        <v>24</v>
      </c>
      <c r="L15">
        <v>3</v>
      </c>
      <c r="M15">
        <v>2</v>
      </c>
      <c r="N15">
        <v>3</v>
      </c>
      <c r="O15">
        <v>4</v>
      </c>
      <c r="P15" t="s">
        <v>24</v>
      </c>
    </row>
    <row r="16" spans="1:16" x14ac:dyDescent="0.25">
      <c r="A16" t="s">
        <v>63</v>
      </c>
      <c r="B16">
        <v>33</v>
      </c>
      <c r="C16" t="s">
        <v>18</v>
      </c>
      <c r="D16" t="s">
        <v>19</v>
      </c>
      <c r="E16" t="s">
        <v>28</v>
      </c>
      <c r="F16" t="s">
        <v>64</v>
      </c>
      <c r="G16" t="s">
        <v>65</v>
      </c>
      <c r="H16">
        <v>6</v>
      </c>
      <c r="I16">
        <v>6166</v>
      </c>
      <c r="J16">
        <v>1</v>
      </c>
      <c r="K16" t="s">
        <v>36</v>
      </c>
      <c r="L16">
        <v>2</v>
      </c>
      <c r="M16">
        <v>3</v>
      </c>
      <c r="N16">
        <v>4</v>
      </c>
      <c r="O16">
        <v>4</v>
      </c>
      <c r="P16" t="s">
        <v>36</v>
      </c>
    </row>
    <row r="17" spans="1:16" x14ac:dyDescent="0.25">
      <c r="A17" t="s">
        <v>66</v>
      </c>
      <c r="B17">
        <v>22</v>
      </c>
      <c r="C17" t="s">
        <v>26</v>
      </c>
      <c r="D17" t="s">
        <v>19</v>
      </c>
      <c r="E17" t="s">
        <v>1123</v>
      </c>
      <c r="F17" t="s">
        <v>44</v>
      </c>
      <c r="G17" t="s">
        <v>67</v>
      </c>
      <c r="H17">
        <v>1</v>
      </c>
      <c r="I17">
        <v>7213</v>
      </c>
      <c r="J17">
        <v>1</v>
      </c>
      <c r="K17" t="s">
        <v>24</v>
      </c>
      <c r="L17">
        <v>1</v>
      </c>
      <c r="M17">
        <v>4</v>
      </c>
      <c r="N17">
        <v>3</v>
      </c>
      <c r="O17">
        <v>1</v>
      </c>
      <c r="P17" t="s">
        <v>24</v>
      </c>
    </row>
    <row r="18" spans="1:16" x14ac:dyDescent="0.25">
      <c r="A18" t="s">
        <v>68</v>
      </c>
      <c r="B18">
        <v>54</v>
      </c>
      <c r="C18" t="s">
        <v>18</v>
      </c>
      <c r="D18" t="s">
        <v>33</v>
      </c>
      <c r="E18" t="s">
        <v>28</v>
      </c>
      <c r="F18" t="s">
        <v>64</v>
      </c>
      <c r="G18" t="s">
        <v>69</v>
      </c>
      <c r="H18">
        <v>9</v>
      </c>
      <c r="I18">
        <v>5315</v>
      </c>
      <c r="J18">
        <v>8</v>
      </c>
      <c r="K18" t="s">
        <v>24</v>
      </c>
      <c r="L18">
        <v>4</v>
      </c>
      <c r="M18">
        <v>3</v>
      </c>
      <c r="N18">
        <v>3</v>
      </c>
      <c r="O18">
        <v>3</v>
      </c>
      <c r="P18" t="s">
        <v>24</v>
      </c>
    </row>
    <row r="19" spans="1:16" x14ac:dyDescent="0.25">
      <c r="A19" t="s">
        <v>70</v>
      </c>
      <c r="B19">
        <v>31</v>
      </c>
      <c r="C19" t="s">
        <v>26</v>
      </c>
      <c r="D19" t="s">
        <v>33</v>
      </c>
      <c r="E19" t="s">
        <v>20</v>
      </c>
      <c r="F19" t="s">
        <v>21</v>
      </c>
      <c r="G19" t="s">
        <v>71</v>
      </c>
      <c r="H19">
        <v>2</v>
      </c>
      <c r="I19">
        <v>8024</v>
      </c>
      <c r="J19">
        <v>13</v>
      </c>
      <c r="K19" t="s">
        <v>24</v>
      </c>
      <c r="L19">
        <v>4</v>
      </c>
      <c r="M19">
        <v>2</v>
      </c>
      <c r="N19">
        <v>3</v>
      </c>
      <c r="O19">
        <v>5</v>
      </c>
      <c r="P19" t="s">
        <v>24</v>
      </c>
    </row>
    <row r="20" spans="1:16" x14ac:dyDescent="0.25">
      <c r="A20" t="s">
        <v>72</v>
      </c>
      <c r="B20">
        <v>28</v>
      </c>
      <c r="C20" t="s">
        <v>18</v>
      </c>
      <c r="D20" t="s">
        <v>33</v>
      </c>
      <c r="E20" t="s">
        <v>20</v>
      </c>
      <c r="F20" t="s">
        <v>44</v>
      </c>
      <c r="G20" t="s">
        <v>73</v>
      </c>
      <c r="H20">
        <v>3</v>
      </c>
      <c r="I20">
        <v>5137</v>
      </c>
      <c r="J20">
        <v>4</v>
      </c>
      <c r="K20" t="s">
        <v>36</v>
      </c>
      <c r="L20">
        <v>3</v>
      </c>
      <c r="M20">
        <v>2</v>
      </c>
      <c r="N20">
        <v>3</v>
      </c>
      <c r="O20">
        <v>1</v>
      </c>
      <c r="P20" t="s">
        <v>36</v>
      </c>
    </row>
    <row r="21" spans="1:16" x14ac:dyDescent="0.25">
      <c r="A21" t="s">
        <v>74</v>
      </c>
      <c r="B21">
        <v>31</v>
      </c>
      <c r="C21" t="s">
        <v>26</v>
      </c>
      <c r="D21" t="s">
        <v>33</v>
      </c>
      <c r="E21" t="s">
        <v>28</v>
      </c>
      <c r="F21" t="s">
        <v>29</v>
      </c>
      <c r="G21" t="s">
        <v>75</v>
      </c>
      <c r="H21">
        <v>1</v>
      </c>
      <c r="I21">
        <v>12628</v>
      </c>
      <c r="J21">
        <v>5</v>
      </c>
      <c r="K21" t="s">
        <v>24</v>
      </c>
      <c r="L21">
        <v>2</v>
      </c>
      <c r="M21">
        <v>4</v>
      </c>
      <c r="N21">
        <v>4</v>
      </c>
      <c r="O21">
        <v>5</v>
      </c>
      <c r="P21" t="s">
        <v>24</v>
      </c>
    </row>
    <row r="22" spans="1:16" x14ac:dyDescent="0.25">
      <c r="A22" t="s">
        <v>76</v>
      </c>
      <c r="B22">
        <v>50</v>
      </c>
      <c r="C22" t="s">
        <v>18</v>
      </c>
      <c r="D22" t="s">
        <v>33</v>
      </c>
      <c r="E22" t="s">
        <v>28</v>
      </c>
      <c r="F22" t="s">
        <v>64</v>
      </c>
      <c r="G22" t="s">
        <v>77</v>
      </c>
      <c r="H22">
        <v>4</v>
      </c>
      <c r="I22">
        <v>5929</v>
      </c>
      <c r="J22">
        <v>6</v>
      </c>
      <c r="K22" t="s">
        <v>24</v>
      </c>
      <c r="L22">
        <v>3</v>
      </c>
      <c r="M22">
        <v>3</v>
      </c>
      <c r="N22">
        <v>3</v>
      </c>
      <c r="O22">
        <v>0</v>
      </c>
      <c r="P22" t="s">
        <v>24</v>
      </c>
    </row>
    <row r="23" spans="1:16" x14ac:dyDescent="0.25">
      <c r="A23" t="s">
        <v>1124</v>
      </c>
      <c r="B23">
        <v>34</v>
      </c>
      <c r="C23" t="s">
        <v>26</v>
      </c>
      <c r="D23" t="s">
        <v>19</v>
      </c>
      <c r="E23" t="s">
        <v>28</v>
      </c>
      <c r="F23" t="s">
        <v>59</v>
      </c>
      <c r="G23" t="s">
        <v>1125</v>
      </c>
      <c r="H23">
        <v>4</v>
      </c>
      <c r="I23">
        <v>5790</v>
      </c>
      <c r="J23">
        <v>6</v>
      </c>
      <c r="K23" t="s">
        <v>24</v>
      </c>
      <c r="L23">
        <v>3</v>
      </c>
      <c r="N23">
        <v>4</v>
      </c>
      <c r="O23">
        <v>2</v>
      </c>
      <c r="P23" t="s">
        <v>24</v>
      </c>
    </row>
    <row r="24" spans="1:16" x14ac:dyDescent="0.25">
      <c r="A24" t="s">
        <v>78</v>
      </c>
      <c r="B24">
        <v>28</v>
      </c>
      <c r="C24" t="s">
        <v>18</v>
      </c>
      <c r="D24" t="s">
        <v>19</v>
      </c>
      <c r="E24" t="s">
        <v>28</v>
      </c>
      <c r="F24" t="s">
        <v>64</v>
      </c>
      <c r="G24" t="s">
        <v>79</v>
      </c>
      <c r="H24">
        <v>5</v>
      </c>
      <c r="I24">
        <v>5839</v>
      </c>
      <c r="J24">
        <v>20</v>
      </c>
      <c r="K24" t="s">
        <v>24</v>
      </c>
      <c r="L24">
        <v>1</v>
      </c>
      <c r="M24">
        <v>4</v>
      </c>
      <c r="N24">
        <v>3</v>
      </c>
      <c r="O24">
        <v>0</v>
      </c>
      <c r="P24" t="s">
        <v>24</v>
      </c>
    </row>
    <row r="25" spans="1:16" x14ac:dyDescent="0.25">
      <c r="A25" t="s">
        <v>80</v>
      </c>
      <c r="B25">
        <v>28</v>
      </c>
      <c r="C25" t="s">
        <v>18</v>
      </c>
      <c r="D25" t="s">
        <v>19</v>
      </c>
      <c r="E25" t="s">
        <v>28</v>
      </c>
      <c r="F25" t="s">
        <v>29</v>
      </c>
      <c r="G25" t="s">
        <v>81</v>
      </c>
      <c r="H25">
        <v>1</v>
      </c>
      <c r="I25">
        <v>10600</v>
      </c>
      <c r="J25">
        <v>3</v>
      </c>
      <c r="K25" t="s">
        <v>36</v>
      </c>
      <c r="L25">
        <v>3</v>
      </c>
      <c r="M25">
        <v>2</v>
      </c>
      <c r="N25">
        <v>3</v>
      </c>
      <c r="O25">
        <v>1</v>
      </c>
      <c r="P25" t="s">
        <v>36</v>
      </c>
    </row>
    <row r="26" spans="1:16" x14ac:dyDescent="0.25">
      <c r="A26" t="s">
        <v>82</v>
      </c>
      <c r="B26">
        <v>37</v>
      </c>
      <c r="C26" t="s">
        <v>26</v>
      </c>
      <c r="D26" t="s">
        <v>19</v>
      </c>
      <c r="E26" t="s">
        <v>28</v>
      </c>
      <c r="F26" t="s">
        <v>29</v>
      </c>
      <c r="G26" t="s">
        <v>83</v>
      </c>
      <c r="H26">
        <v>9</v>
      </c>
      <c r="I26">
        <v>10698</v>
      </c>
      <c r="J26">
        <v>6</v>
      </c>
      <c r="K26" t="s">
        <v>36</v>
      </c>
      <c r="L26">
        <v>2</v>
      </c>
      <c r="M26">
        <v>2</v>
      </c>
      <c r="N26">
        <v>3</v>
      </c>
      <c r="O26">
        <v>1</v>
      </c>
      <c r="P26" t="s">
        <v>24</v>
      </c>
    </row>
    <row r="27" spans="1:16" x14ac:dyDescent="0.25">
      <c r="A27" t="s">
        <v>84</v>
      </c>
      <c r="B27">
        <v>20</v>
      </c>
      <c r="C27" t="s">
        <v>18</v>
      </c>
      <c r="D27" t="s">
        <v>19</v>
      </c>
      <c r="E27" t="s">
        <v>20</v>
      </c>
      <c r="F27" t="s">
        <v>40</v>
      </c>
      <c r="G27" t="s">
        <v>85</v>
      </c>
      <c r="H27">
        <v>8</v>
      </c>
      <c r="I27">
        <v>3998</v>
      </c>
      <c r="J27">
        <v>5</v>
      </c>
      <c r="K27" t="s">
        <v>24</v>
      </c>
      <c r="L27">
        <v>1</v>
      </c>
      <c r="M27">
        <v>2</v>
      </c>
      <c r="N27">
        <v>3</v>
      </c>
      <c r="O27">
        <v>4</v>
      </c>
      <c r="P27" t="s">
        <v>36</v>
      </c>
    </row>
    <row r="28" spans="1:16" x14ac:dyDescent="0.25">
      <c r="A28" t="s">
        <v>86</v>
      </c>
      <c r="B28">
        <v>27</v>
      </c>
      <c r="C28" t="s">
        <v>18</v>
      </c>
      <c r="D28" t="s">
        <v>19</v>
      </c>
      <c r="E28" t="s">
        <v>20</v>
      </c>
      <c r="F28" t="s">
        <v>44</v>
      </c>
      <c r="G28" t="s">
        <v>87</v>
      </c>
      <c r="H28">
        <v>1</v>
      </c>
      <c r="I28">
        <v>6716</v>
      </c>
      <c r="J28">
        <v>4</v>
      </c>
      <c r="K28" t="s">
        <v>24</v>
      </c>
      <c r="L28">
        <v>2</v>
      </c>
      <c r="M28">
        <v>4</v>
      </c>
      <c r="N28">
        <v>3</v>
      </c>
      <c r="O28">
        <v>5</v>
      </c>
      <c r="P28" t="s">
        <v>36</v>
      </c>
    </row>
    <row r="29" spans="1:16" x14ac:dyDescent="0.25">
      <c r="A29" t="s">
        <v>88</v>
      </c>
      <c r="B29">
        <v>28</v>
      </c>
      <c r="C29" t="s">
        <v>18</v>
      </c>
      <c r="D29" t="s">
        <v>19</v>
      </c>
      <c r="E29" t="s">
        <v>28</v>
      </c>
      <c r="F29" t="s">
        <v>34</v>
      </c>
      <c r="G29" t="s">
        <v>89</v>
      </c>
      <c r="H29">
        <v>5</v>
      </c>
      <c r="I29">
        <v>4044</v>
      </c>
      <c r="J29">
        <v>6</v>
      </c>
      <c r="K29" t="s">
        <v>24</v>
      </c>
      <c r="L29">
        <v>3</v>
      </c>
      <c r="M29">
        <v>3</v>
      </c>
      <c r="N29">
        <v>3</v>
      </c>
      <c r="O29">
        <v>4</v>
      </c>
      <c r="P29" t="s">
        <v>24</v>
      </c>
    </row>
    <row r="30" spans="1:16" x14ac:dyDescent="0.25">
      <c r="A30" t="s">
        <v>90</v>
      </c>
      <c r="B30">
        <v>23</v>
      </c>
      <c r="C30" t="s">
        <v>18</v>
      </c>
      <c r="D30" t="s">
        <v>33</v>
      </c>
      <c r="E30" t="s">
        <v>28</v>
      </c>
      <c r="F30" t="s">
        <v>59</v>
      </c>
      <c r="G30" t="s">
        <v>91</v>
      </c>
      <c r="H30">
        <v>16</v>
      </c>
      <c r="I30">
        <v>4802</v>
      </c>
      <c r="J30">
        <v>2</v>
      </c>
      <c r="K30" t="s">
        <v>36</v>
      </c>
      <c r="L30">
        <v>1</v>
      </c>
      <c r="M30">
        <v>4</v>
      </c>
      <c r="N30">
        <v>3</v>
      </c>
      <c r="O30">
        <v>0</v>
      </c>
      <c r="P30" t="s">
        <v>24</v>
      </c>
    </row>
    <row r="31" spans="1:16" x14ac:dyDescent="0.25">
      <c r="A31" t="s">
        <v>93</v>
      </c>
      <c r="B31">
        <v>45</v>
      </c>
      <c r="C31" t="s">
        <v>26</v>
      </c>
      <c r="D31" t="s">
        <v>19</v>
      </c>
      <c r="E31" t="s">
        <v>28</v>
      </c>
      <c r="F31" t="s">
        <v>29</v>
      </c>
      <c r="G31" t="s">
        <v>94</v>
      </c>
      <c r="H31">
        <v>9</v>
      </c>
      <c r="I31">
        <v>15084</v>
      </c>
      <c r="J31">
        <v>1</v>
      </c>
      <c r="K31" t="s">
        <v>24</v>
      </c>
      <c r="L31">
        <v>1</v>
      </c>
      <c r="M31">
        <v>3</v>
      </c>
      <c r="N31">
        <v>3</v>
      </c>
      <c r="O31">
        <v>5</v>
      </c>
      <c r="P31" t="s">
        <v>24</v>
      </c>
    </row>
    <row r="32" spans="1:16" x14ac:dyDescent="0.25">
      <c r="A32" t="s">
        <v>95</v>
      </c>
      <c r="B32">
        <v>42</v>
      </c>
      <c r="C32" t="s">
        <v>18</v>
      </c>
      <c r="D32" t="s">
        <v>19</v>
      </c>
      <c r="E32" t="s">
        <v>28</v>
      </c>
      <c r="F32" t="s">
        <v>59</v>
      </c>
      <c r="G32" t="s">
        <v>96</v>
      </c>
      <c r="H32">
        <v>7</v>
      </c>
      <c r="I32">
        <v>5856</v>
      </c>
      <c r="J32">
        <v>19</v>
      </c>
      <c r="K32" t="s">
        <v>24</v>
      </c>
      <c r="L32">
        <v>2</v>
      </c>
      <c r="M32">
        <v>1</v>
      </c>
      <c r="N32">
        <v>3</v>
      </c>
      <c r="O32">
        <v>3</v>
      </c>
      <c r="P32" t="s">
        <v>24</v>
      </c>
    </row>
    <row r="33" spans="1:16" x14ac:dyDescent="0.25">
      <c r="A33" t="s">
        <v>97</v>
      </c>
      <c r="B33">
        <v>43</v>
      </c>
      <c r="C33" t="s">
        <v>18</v>
      </c>
      <c r="D33" t="s">
        <v>27</v>
      </c>
      <c r="E33" t="s">
        <v>28</v>
      </c>
      <c r="F33" t="s">
        <v>64</v>
      </c>
      <c r="G33" t="s">
        <v>98</v>
      </c>
      <c r="H33">
        <v>2</v>
      </c>
      <c r="I33">
        <v>5697</v>
      </c>
      <c r="J33">
        <v>6</v>
      </c>
      <c r="K33" t="s">
        <v>36</v>
      </c>
      <c r="L33">
        <v>2</v>
      </c>
      <c r="M33">
        <v>3</v>
      </c>
      <c r="N33">
        <v>4</v>
      </c>
      <c r="O33">
        <v>0</v>
      </c>
      <c r="P33" t="s">
        <v>24</v>
      </c>
    </row>
    <row r="34" spans="1:16" x14ac:dyDescent="0.25">
      <c r="A34" t="s">
        <v>99</v>
      </c>
      <c r="B34">
        <v>20</v>
      </c>
      <c r="C34" t="s">
        <v>18</v>
      </c>
      <c r="D34" t="s">
        <v>33</v>
      </c>
      <c r="E34" t="s">
        <v>20</v>
      </c>
      <c r="F34" t="s">
        <v>21</v>
      </c>
      <c r="G34" t="s">
        <v>100</v>
      </c>
      <c r="H34">
        <v>2</v>
      </c>
      <c r="I34">
        <v>12769</v>
      </c>
      <c r="J34">
        <v>9</v>
      </c>
      <c r="K34" t="s">
        <v>24</v>
      </c>
      <c r="L34">
        <v>4</v>
      </c>
      <c r="M34">
        <v>4</v>
      </c>
      <c r="N34">
        <v>3</v>
      </c>
      <c r="O34">
        <v>3</v>
      </c>
      <c r="P34" t="s">
        <v>24</v>
      </c>
    </row>
    <row r="35" spans="1:16" x14ac:dyDescent="0.25">
      <c r="A35" t="s">
        <v>101</v>
      </c>
      <c r="B35">
        <v>36</v>
      </c>
      <c r="C35" t="s">
        <v>18</v>
      </c>
      <c r="D35" t="s">
        <v>19</v>
      </c>
      <c r="E35" t="s">
        <v>28</v>
      </c>
      <c r="F35" t="s">
        <v>29</v>
      </c>
      <c r="G35" t="s">
        <v>102</v>
      </c>
      <c r="H35">
        <v>0</v>
      </c>
      <c r="I35">
        <v>14370</v>
      </c>
      <c r="J35">
        <v>3</v>
      </c>
      <c r="K35" t="s">
        <v>24</v>
      </c>
      <c r="L35">
        <v>1</v>
      </c>
      <c r="M35">
        <v>3</v>
      </c>
      <c r="N35">
        <v>3</v>
      </c>
      <c r="O35">
        <v>4</v>
      </c>
      <c r="P35" t="s">
        <v>36</v>
      </c>
    </row>
    <row r="36" spans="1:16" x14ac:dyDescent="0.25">
      <c r="A36" t="s">
        <v>103</v>
      </c>
      <c r="B36">
        <v>21</v>
      </c>
      <c r="C36" t="s">
        <v>18</v>
      </c>
      <c r="D36" t="s">
        <v>33</v>
      </c>
      <c r="E36" t="s">
        <v>28</v>
      </c>
      <c r="F36" t="s">
        <v>59</v>
      </c>
      <c r="G36" t="s">
        <v>104</v>
      </c>
      <c r="H36">
        <v>0</v>
      </c>
      <c r="I36">
        <v>5916</v>
      </c>
      <c r="J36">
        <v>19</v>
      </c>
      <c r="K36" t="s">
        <v>24</v>
      </c>
      <c r="L36">
        <v>4</v>
      </c>
      <c r="M36">
        <v>3</v>
      </c>
      <c r="N36">
        <v>3</v>
      </c>
      <c r="O36">
        <v>3</v>
      </c>
      <c r="P36" t="s">
        <v>24</v>
      </c>
    </row>
    <row r="37" spans="1:16" x14ac:dyDescent="0.25">
      <c r="A37" t="s">
        <v>105</v>
      </c>
      <c r="B37">
        <v>37</v>
      </c>
      <c r="C37" t="s">
        <v>18</v>
      </c>
      <c r="D37" t="s">
        <v>19</v>
      </c>
      <c r="E37" t="s">
        <v>28</v>
      </c>
      <c r="F37" t="s">
        <v>64</v>
      </c>
      <c r="G37" t="s">
        <v>106</v>
      </c>
      <c r="H37">
        <v>6</v>
      </c>
      <c r="I37">
        <v>5495</v>
      </c>
      <c r="J37">
        <v>6</v>
      </c>
      <c r="K37" t="s">
        <v>24</v>
      </c>
      <c r="L37">
        <v>1</v>
      </c>
      <c r="M37">
        <v>3</v>
      </c>
      <c r="N37">
        <v>3</v>
      </c>
      <c r="O37">
        <v>5</v>
      </c>
      <c r="P37" t="s">
        <v>24</v>
      </c>
    </row>
    <row r="38" spans="1:16" x14ac:dyDescent="0.25">
      <c r="A38" t="s">
        <v>107</v>
      </c>
      <c r="B38">
        <v>21</v>
      </c>
      <c r="C38" t="s">
        <v>18</v>
      </c>
      <c r="D38" t="s">
        <v>19</v>
      </c>
      <c r="E38" t="s">
        <v>20</v>
      </c>
      <c r="F38" t="s">
        <v>44</v>
      </c>
      <c r="G38" t="s">
        <v>108</v>
      </c>
      <c r="H38">
        <v>8</v>
      </c>
      <c r="I38">
        <v>7660</v>
      </c>
      <c r="J38">
        <v>5</v>
      </c>
      <c r="K38" t="s">
        <v>36</v>
      </c>
      <c r="L38">
        <v>3</v>
      </c>
      <c r="M38">
        <v>3</v>
      </c>
      <c r="N38">
        <v>3</v>
      </c>
      <c r="O38">
        <v>0</v>
      </c>
      <c r="P38" t="s">
        <v>24</v>
      </c>
    </row>
    <row r="39" spans="1:16" x14ac:dyDescent="0.25">
      <c r="A39" t="s">
        <v>1126</v>
      </c>
      <c r="B39">
        <v>39</v>
      </c>
      <c r="C39" t="s">
        <v>18</v>
      </c>
      <c r="D39" t="s">
        <v>19</v>
      </c>
      <c r="E39" t="s">
        <v>20</v>
      </c>
      <c r="F39" t="s">
        <v>44</v>
      </c>
      <c r="G39" t="s">
        <v>1127</v>
      </c>
      <c r="H39">
        <v>6</v>
      </c>
      <c r="I39">
        <v>6139</v>
      </c>
      <c r="J39">
        <v>10</v>
      </c>
      <c r="K39" t="s">
        <v>36</v>
      </c>
      <c r="L39">
        <v>4</v>
      </c>
      <c r="M39">
        <v>3</v>
      </c>
      <c r="N39">
        <v>4</v>
      </c>
      <c r="O39">
        <v>5</v>
      </c>
      <c r="P39" t="s">
        <v>24</v>
      </c>
    </row>
    <row r="40" spans="1:16" x14ac:dyDescent="0.25">
      <c r="A40" t="s">
        <v>109</v>
      </c>
      <c r="B40">
        <v>33</v>
      </c>
      <c r="C40" t="s">
        <v>26</v>
      </c>
      <c r="D40" t="s">
        <v>33</v>
      </c>
      <c r="E40" t="s">
        <v>110</v>
      </c>
      <c r="F40" t="s">
        <v>111</v>
      </c>
      <c r="G40" t="s">
        <v>112</v>
      </c>
      <c r="H40">
        <v>4</v>
      </c>
      <c r="I40">
        <v>3567</v>
      </c>
      <c r="J40">
        <v>1</v>
      </c>
      <c r="K40" t="s">
        <v>24</v>
      </c>
      <c r="L40">
        <v>2</v>
      </c>
      <c r="M40">
        <v>3</v>
      </c>
      <c r="N40">
        <v>3</v>
      </c>
      <c r="O40">
        <v>2</v>
      </c>
      <c r="P40" t="s">
        <v>24</v>
      </c>
    </row>
    <row r="41" spans="1:16" x14ac:dyDescent="0.25">
      <c r="A41" t="s">
        <v>113</v>
      </c>
      <c r="B41">
        <v>36</v>
      </c>
      <c r="C41" t="s">
        <v>26</v>
      </c>
      <c r="D41" t="s">
        <v>33</v>
      </c>
      <c r="E41" t="s">
        <v>28</v>
      </c>
      <c r="F41" t="s">
        <v>59</v>
      </c>
      <c r="G41" t="s">
        <v>114</v>
      </c>
      <c r="H41">
        <v>3</v>
      </c>
      <c r="I41">
        <v>5782</v>
      </c>
      <c r="J41">
        <v>5</v>
      </c>
      <c r="K41" t="s">
        <v>24</v>
      </c>
      <c r="L41">
        <v>4</v>
      </c>
      <c r="M41">
        <v>2</v>
      </c>
      <c r="N41">
        <v>3</v>
      </c>
      <c r="O41">
        <v>3</v>
      </c>
      <c r="P41" t="s">
        <v>36</v>
      </c>
    </row>
    <row r="42" spans="1:16" x14ac:dyDescent="0.25">
      <c r="A42" t="s">
        <v>115</v>
      </c>
      <c r="B42">
        <v>34</v>
      </c>
      <c r="C42" t="s">
        <v>26</v>
      </c>
      <c r="D42" t="s">
        <v>19</v>
      </c>
      <c r="E42" t="s">
        <v>28</v>
      </c>
      <c r="F42" t="s">
        <v>59</v>
      </c>
      <c r="G42" t="s">
        <v>116</v>
      </c>
      <c r="H42">
        <v>6</v>
      </c>
      <c r="I42">
        <v>6281</v>
      </c>
      <c r="J42">
        <v>8</v>
      </c>
      <c r="K42" t="s">
        <v>36</v>
      </c>
      <c r="L42">
        <v>4</v>
      </c>
      <c r="M42">
        <v>3</v>
      </c>
      <c r="N42">
        <v>3</v>
      </c>
      <c r="O42">
        <v>4</v>
      </c>
      <c r="P42" t="s">
        <v>24</v>
      </c>
    </row>
    <row r="43" spans="1:16" x14ac:dyDescent="0.25">
      <c r="A43" t="s">
        <v>1128</v>
      </c>
      <c r="B43">
        <v>26</v>
      </c>
      <c r="C43" t="s">
        <v>18</v>
      </c>
      <c r="D43" t="s">
        <v>19</v>
      </c>
      <c r="E43" t="s">
        <v>20</v>
      </c>
      <c r="F43" t="s">
        <v>21</v>
      </c>
      <c r="G43" t="s">
        <v>1129</v>
      </c>
      <c r="H43">
        <v>7</v>
      </c>
      <c r="J43">
        <v>8</v>
      </c>
      <c r="K43" t="s">
        <v>24</v>
      </c>
      <c r="L43">
        <v>3</v>
      </c>
      <c r="M43">
        <v>1</v>
      </c>
      <c r="N43">
        <v>3</v>
      </c>
      <c r="O43">
        <v>5</v>
      </c>
      <c r="P43" t="s">
        <v>36</v>
      </c>
    </row>
    <row r="44" spans="1:16" x14ac:dyDescent="0.25">
      <c r="A44" t="s">
        <v>117</v>
      </c>
      <c r="B44">
        <v>27</v>
      </c>
      <c r="C44" t="s">
        <v>26</v>
      </c>
      <c r="D44" t="s">
        <v>27</v>
      </c>
      <c r="E44" t="s">
        <v>28</v>
      </c>
      <c r="F44" t="s">
        <v>59</v>
      </c>
      <c r="G44" t="s">
        <v>118</v>
      </c>
      <c r="H44">
        <v>0</v>
      </c>
      <c r="I44">
        <v>5920</v>
      </c>
      <c r="J44">
        <v>10</v>
      </c>
      <c r="K44" t="s">
        <v>36</v>
      </c>
      <c r="L44">
        <v>4</v>
      </c>
      <c r="M44">
        <v>3</v>
      </c>
      <c r="N44">
        <v>4</v>
      </c>
      <c r="O44">
        <v>5</v>
      </c>
      <c r="P44" t="s">
        <v>36</v>
      </c>
    </row>
    <row r="45" spans="1:16" x14ac:dyDescent="0.25">
      <c r="A45" t="s">
        <v>119</v>
      </c>
      <c r="B45">
        <v>46</v>
      </c>
      <c r="C45" t="s">
        <v>18</v>
      </c>
      <c r="D45" t="s">
        <v>33</v>
      </c>
      <c r="E45" t="s">
        <v>1123</v>
      </c>
      <c r="F45" t="s">
        <v>44</v>
      </c>
      <c r="G45" t="s">
        <v>120</v>
      </c>
      <c r="H45">
        <v>4</v>
      </c>
      <c r="I45">
        <v>4663</v>
      </c>
      <c r="J45">
        <v>10</v>
      </c>
      <c r="K45" t="s">
        <v>36</v>
      </c>
      <c r="L45">
        <v>2</v>
      </c>
      <c r="M45">
        <v>3</v>
      </c>
      <c r="N45">
        <v>3</v>
      </c>
      <c r="O45">
        <v>5</v>
      </c>
      <c r="P45" t="s">
        <v>24</v>
      </c>
    </row>
    <row r="46" spans="1:16" x14ac:dyDescent="0.25">
      <c r="A46" t="s">
        <v>121</v>
      </c>
      <c r="B46">
        <v>45</v>
      </c>
      <c r="C46" t="s">
        <v>18</v>
      </c>
      <c r="D46" t="s">
        <v>33</v>
      </c>
      <c r="E46" t="s">
        <v>28</v>
      </c>
      <c r="F46" t="s">
        <v>34</v>
      </c>
      <c r="G46" t="s">
        <v>122</v>
      </c>
      <c r="H46">
        <v>7</v>
      </c>
      <c r="I46">
        <v>3647</v>
      </c>
      <c r="J46">
        <v>4</v>
      </c>
      <c r="K46" t="s">
        <v>24</v>
      </c>
      <c r="L46">
        <v>4</v>
      </c>
      <c r="M46">
        <v>4</v>
      </c>
      <c r="N46">
        <v>4</v>
      </c>
      <c r="O46">
        <v>3</v>
      </c>
      <c r="P46" t="s">
        <v>24</v>
      </c>
    </row>
    <row r="47" spans="1:16" x14ac:dyDescent="0.25">
      <c r="A47" t="s">
        <v>123</v>
      </c>
      <c r="B47">
        <v>33</v>
      </c>
      <c r="C47" t="s">
        <v>18</v>
      </c>
      <c r="D47" t="s">
        <v>33</v>
      </c>
      <c r="E47" t="s">
        <v>20</v>
      </c>
      <c r="F47" t="s">
        <v>44</v>
      </c>
      <c r="G47" t="s">
        <v>124</v>
      </c>
      <c r="H47">
        <v>1</v>
      </c>
      <c r="I47">
        <v>4565</v>
      </c>
      <c r="J47">
        <v>1</v>
      </c>
      <c r="K47" t="s">
        <v>24</v>
      </c>
      <c r="L47">
        <v>2</v>
      </c>
      <c r="M47">
        <v>2</v>
      </c>
      <c r="N47">
        <v>3</v>
      </c>
      <c r="O47">
        <v>5</v>
      </c>
      <c r="P47" t="s">
        <v>36</v>
      </c>
    </row>
    <row r="48" spans="1:16" x14ac:dyDescent="0.25">
      <c r="A48" t="s">
        <v>125</v>
      </c>
      <c r="B48">
        <v>31</v>
      </c>
      <c r="C48" t="s">
        <v>26</v>
      </c>
      <c r="D48" t="s">
        <v>33</v>
      </c>
      <c r="E48" t="s">
        <v>28</v>
      </c>
      <c r="F48" t="s">
        <v>34</v>
      </c>
      <c r="G48" t="s">
        <v>126</v>
      </c>
      <c r="H48">
        <v>3</v>
      </c>
      <c r="I48">
        <v>3185</v>
      </c>
      <c r="J48">
        <v>4</v>
      </c>
      <c r="K48" t="s">
        <v>24</v>
      </c>
      <c r="L48">
        <v>2</v>
      </c>
      <c r="M48">
        <v>3</v>
      </c>
      <c r="N48">
        <v>3</v>
      </c>
      <c r="O48">
        <v>0</v>
      </c>
      <c r="P48" t="s">
        <v>24</v>
      </c>
    </row>
    <row r="49" spans="1:16" x14ac:dyDescent="0.25">
      <c r="A49" t="s">
        <v>127</v>
      </c>
      <c r="B49">
        <v>20</v>
      </c>
      <c r="C49" t="s">
        <v>26</v>
      </c>
      <c r="D49" t="s">
        <v>33</v>
      </c>
      <c r="E49" t="s">
        <v>110</v>
      </c>
      <c r="F49" t="s">
        <v>128</v>
      </c>
      <c r="G49" t="s">
        <v>129</v>
      </c>
      <c r="H49">
        <v>2</v>
      </c>
      <c r="I49">
        <v>12135</v>
      </c>
      <c r="J49">
        <v>4</v>
      </c>
      <c r="K49" t="s">
        <v>24</v>
      </c>
      <c r="L49">
        <v>4</v>
      </c>
      <c r="M49">
        <v>2</v>
      </c>
      <c r="N49">
        <v>4</v>
      </c>
      <c r="O49">
        <v>3</v>
      </c>
      <c r="P49" t="s">
        <v>24</v>
      </c>
    </row>
    <row r="50" spans="1:16" x14ac:dyDescent="0.25">
      <c r="A50" t="s">
        <v>130</v>
      </c>
      <c r="B50">
        <v>50</v>
      </c>
      <c r="C50" t="s">
        <v>18</v>
      </c>
      <c r="D50" t="s">
        <v>33</v>
      </c>
      <c r="E50" t="s">
        <v>28</v>
      </c>
      <c r="F50" t="s">
        <v>64</v>
      </c>
      <c r="G50" t="s">
        <v>131</v>
      </c>
      <c r="H50">
        <v>6</v>
      </c>
      <c r="I50">
        <v>6065</v>
      </c>
      <c r="J50">
        <v>1</v>
      </c>
      <c r="K50" t="s">
        <v>24</v>
      </c>
      <c r="L50">
        <v>4</v>
      </c>
      <c r="M50">
        <v>4</v>
      </c>
      <c r="N50">
        <v>3</v>
      </c>
      <c r="O50">
        <v>3</v>
      </c>
      <c r="P50" t="s">
        <v>24</v>
      </c>
    </row>
    <row r="51" spans="1:16" x14ac:dyDescent="0.25">
      <c r="A51" t="s">
        <v>132</v>
      </c>
      <c r="B51">
        <v>35</v>
      </c>
      <c r="C51" t="s">
        <v>26</v>
      </c>
      <c r="D51" t="s">
        <v>19</v>
      </c>
      <c r="E51" t="s">
        <v>28</v>
      </c>
      <c r="F51" t="s">
        <v>59</v>
      </c>
      <c r="G51" t="s">
        <v>133</v>
      </c>
      <c r="H51">
        <v>1</v>
      </c>
      <c r="I51">
        <v>5829</v>
      </c>
      <c r="J51">
        <v>3</v>
      </c>
      <c r="K51" t="s">
        <v>24</v>
      </c>
      <c r="L51">
        <v>2</v>
      </c>
      <c r="M51">
        <v>3</v>
      </c>
      <c r="N51">
        <v>3</v>
      </c>
      <c r="O51">
        <v>0</v>
      </c>
      <c r="P51" t="s">
        <v>36</v>
      </c>
    </row>
    <row r="52" spans="1:16" x14ac:dyDescent="0.25">
      <c r="A52" t="s">
        <v>134</v>
      </c>
      <c r="B52">
        <v>44</v>
      </c>
      <c r="C52" t="s">
        <v>26</v>
      </c>
      <c r="D52" t="s">
        <v>19</v>
      </c>
      <c r="E52" t="s">
        <v>20</v>
      </c>
      <c r="F52" t="s">
        <v>44</v>
      </c>
      <c r="G52" t="s">
        <v>135</v>
      </c>
      <c r="H52">
        <v>0</v>
      </c>
      <c r="I52">
        <v>6234</v>
      </c>
      <c r="J52">
        <v>15</v>
      </c>
      <c r="K52" t="s">
        <v>36</v>
      </c>
      <c r="L52">
        <v>1</v>
      </c>
      <c r="M52">
        <v>4</v>
      </c>
      <c r="N52">
        <v>3</v>
      </c>
      <c r="O52">
        <v>0</v>
      </c>
      <c r="P52" t="s">
        <v>24</v>
      </c>
    </row>
    <row r="53" spans="1:16" x14ac:dyDescent="0.25">
      <c r="A53" t="s">
        <v>136</v>
      </c>
      <c r="B53">
        <v>47</v>
      </c>
      <c r="C53" t="s">
        <v>26</v>
      </c>
      <c r="D53" t="s">
        <v>33</v>
      </c>
      <c r="E53" t="s">
        <v>28</v>
      </c>
      <c r="F53" t="s">
        <v>64</v>
      </c>
      <c r="G53" t="s">
        <v>137</v>
      </c>
      <c r="H53">
        <v>5</v>
      </c>
      <c r="I53">
        <v>6610</v>
      </c>
      <c r="J53">
        <v>4</v>
      </c>
      <c r="K53" t="s">
        <v>24</v>
      </c>
      <c r="L53">
        <v>4</v>
      </c>
      <c r="M53">
        <v>4</v>
      </c>
      <c r="N53">
        <v>4</v>
      </c>
      <c r="O53">
        <v>2</v>
      </c>
      <c r="P53" t="s">
        <v>24</v>
      </c>
    </row>
    <row r="54" spans="1:16" x14ac:dyDescent="0.25">
      <c r="A54" t="s">
        <v>138</v>
      </c>
      <c r="B54">
        <v>40</v>
      </c>
      <c r="C54" t="s">
        <v>26</v>
      </c>
      <c r="D54" t="s">
        <v>19</v>
      </c>
      <c r="E54" t="s">
        <v>1130</v>
      </c>
      <c r="F54" t="s">
        <v>34</v>
      </c>
      <c r="G54" t="s">
        <v>139</v>
      </c>
      <c r="H54">
        <v>0</v>
      </c>
      <c r="I54">
        <v>4029</v>
      </c>
      <c r="J54">
        <v>1</v>
      </c>
      <c r="K54" t="s">
        <v>24</v>
      </c>
      <c r="L54">
        <v>1</v>
      </c>
      <c r="M54">
        <v>2</v>
      </c>
      <c r="N54">
        <v>3</v>
      </c>
      <c r="O54">
        <v>5</v>
      </c>
      <c r="P54" t="s">
        <v>36</v>
      </c>
    </row>
    <row r="55" spans="1:16" x14ac:dyDescent="0.25">
      <c r="A55" t="s">
        <v>140</v>
      </c>
      <c r="B55">
        <v>20</v>
      </c>
      <c r="C55" t="s">
        <v>26</v>
      </c>
      <c r="D55" t="s">
        <v>19</v>
      </c>
      <c r="E55" t="s">
        <v>20</v>
      </c>
      <c r="F55" t="s">
        <v>40</v>
      </c>
      <c r="G55" t="s">
        <v>141</v>
      </c>
      <c r="H55">
        <v>3</v>
      </c>
      <c r="I55">
        <v>3531</v>
      </c>
      <c r="J55">
        <v>1</v>
      </c>
      <c r="K55" t="s">
        <v>24</v>
      </c>
      <c r="L55">
        <v>4</v>
      </c>
      <c r="M55">
        <v>3</v>
      </c>
      <c r="N55">
        <v>4</v>
      </c>
      <c r="O55">
        <v>5</v>
      </c>
      <c r="P55" t="s">
        <v>24</v>
      </c>
    </row>
    <row r="56" spans="1:16" x14ac:dyDescent="0.25">
      <c r="A56" t="s">
        <v>142</v>
      </c>
      <c r="B56">
        <v>23</v>
      </c>
      <c r="C56" t="s">
        <v>26</v>
      </c>
      <c r="D56" t="s">
        <v>19</v>
      </c>
      <c r="E56" t="s">
        <v>28</v>
      </c>
      <c r="F56" t="s">
        <v>64</v>
      </c>
      <c r="G56" t="s">
        <v>143</v>
      </c>
      <c r="H56">
        <v>0</v>
      </c>
      <c r="I56">
        <v>5687</v>
      </c>
      <c r="J56">
        <v>8</v>
      </c>
      <c r="K56" t="s">
        <v>36</v>
      </c>
      <c r="L56">
        <v>3</v>
      </c>
      <c r="M56">
        <v>4</v>
      </c>
      <c r="N56">
        <v>3</v>
      </c>
      <c r="O56">
        <v>3</v>
      </c>
      <c r="P56" t="s">
        <v>24</v>
      </c>
    </row>
    <row r="57" spans="1:16" x14ac:dyDescent="0.25">
      <c r="A57" t="s">
        <v>144</v>
      </c>
      <c r="B57">
        <v>44</v>
      </c>
      <c r="C57" t="s">
        <v>18</v>
      </c>
      <c r="D57" t="s">
        <v>19</v>
      </c>
      <c r="E57" t="s">
        <v>20</v>
      </c>
      <c r="F57" t="s">
        <v>40</v>
      </c>
      <c r="G57" t="s">
        <v>145</v>
      </c>
      <c r="H57">
        <v>0</v>
      </c>
      <c r="I57">
        <v>3981</v>
      </c>
      <c r="J57">
        <v>1</v>
      </c>
      <c r="K57" t="s">
        <v>24</v>
      </c>
      <c r="L57">
        <v>4</v>
      </c>
      <c r="M57">
        <v>3</v>
      </c>
      <c r="N57">
        <v>3</v>
      </c>
      <c r="O57">
        <v>1</v>
      </c>
      <c r="P57" t="s">
        <v>24</v>
      </c>
    </row>
    <row r="58" spans="1:16" x14ac:dyDescent="0.25">
      <c r="A58" t="s">
        <v>146</v>
      </c>
      <c r="B58">
        <v>36</v>
      </c>
      <c r="C58" t="s">
        <v>18</v>
      </c>
      <c r="D58" t="s">
        <v>19</v>
      </c>
      <c r="E58" t="s">
        <v>28</v>
      </c>
      <c r="F58" t="s">
        <v>34</v>
      </c>
      <c r="G58" t="s">
        <v>147</v>
      </c>
      <c r="H58">
        <v>0</v>
      </c>
      <c r="I58">
        <v>3182</v>
      </c>
      <c r="J58">
        <v>1</v>
      </c>
      <c r="K58" t="s">
        <v>24</v>
      </c>
      <c r="L58">
        <v>3</v>
      </c>
      <c r="M58">
        <v>3</v>
      </c>
      <c r="N58">
        <v>3</v>
      </c>
      <c r="O58">
        <v>4</v>
      </c>
      <c r="P58" t="s">
        <v>24</v>
      </c>
    </row>
    <row r="59" spans="1:16" x14ac:dyDescent="0.25">
      <c r="A59" t="s">
        <v>148</v>
      </c>
      <c r="B59">
        <v>36</v>
      </c>
      <c r="C59" t="s">
        <v>26</v>
      </c>
      <c r="D59" t="s">
        <v>19</v>
      </c>
      <c r="E59" t="s">
        <v>28</v>
      </c>
      <c r="F59" t="s">
        <v>29</v>
      </c>
      <c r="G59" t="s">
        <v>149</v>
      </c>
      <c r="H59">
        <v>5</v>
      </c>
      <c r="I59">
        <v>10212</v>
      </c>
      <c r="J59">
        <v>2</v>
      </c>
      <c r="K59" t="s">
        <v>24</v>
      </c>
      <c r="L59">
        <v>2</v>
      </c>
      <c r="M59">
        <v>2</v>
      </c>
      <c r="N59">
        <v>4</v>
      </c>
      <c r="O59">
        <v>0</v>
      </c>
      <c r="P59" t="s">
        <v>36</v>
      </c>
    </row>
    <row r="60" spans="1:16" x14ac:dyDescent="0.25">
      <c r="A60" t="s">
        <v>150</v>
      </c>
      <c r="B60">
        <v>40</v>
      </c>
      <c r="C60" t="s">
        <v>18</v>
      </c>
      <c r="D60" t="s">
        <v>19</v>
      </c>
      <c r="E60" t="s">
        <v>20</v>
      </c>
      <c r="F60" t="s">
        <v>44</v>
      </c>
      <c r="G60" t="s">
        <v>151</v>
      </c>
      <c r="H60">
        <v>1</v>
      </c>
      <c r="I60">
        <v>5389</v>
      </c>
      <c r="J60">
        <v>14</v>
      </c>
      <c r="K60" t="s">
        <v>24</v>
      </c>
      <c r="L60">
        <v>1</v>
      </c>
      <c r="M60">
        <v>2</v>
      </c>
      <c r="N60">
        <v>3</v>
      </c>
      <c r="O60">
        <v>5</v>
      </c>
      <c r="P60" t="s">
        <v>24</v>
      </c>
    </row>
    <row r="61" spans="1:16" x14ac:dyDescent="0.25">
      <c r="A61" t="s">
        <v>152</v>
      </c>
      <c r="B61">
        <v>21</v>
      </c>
      <c r="C61" t="s">
        <v>18</v>
      </c>
      <c r="D61" t="s">
        <v>19</v>
      </c>
      <c r="E61" t="s">
        <v>20</v>
      </c>
      <c r="F61" t="s">
        <v>40</v>
      </c>
      <c r="G61" t="s">
        <v>153</v>
      </c>
      <c r="H61">
        <v>6</v>
      </c>
      <c r="I61">
        <v>5581</v>
      </c>
      <c r="J61">
        <v>1</v>
      </c>
      <c r="K61" t="s">
        <v>36</v>
      </c>
      <c r="L61">
        <v>1</v>
      </c>
      <c r="M61">
        <v>4</v>
      </c>
      <c r="N61">
        <v>3</v>
      </c>
      <c r="O61">
        <v>3</v>
      </c>
      <c r="P61" t="s">
        <v>36</v>
      </c>
    </row>
    <row r="62" spans="1:16" x14ac:dyDescent="0.25">
      <c r="A62" t="s">
        <v>154</v>
      </c>
      <c r="B62">
        <v>26</v>
      </c>
      <c r="C62" t="s">
        <v>18</v>
      </c>
      <c r="D62" t="s">
        <v>33</v>
      </c>
      <c r="E62" t="s">
        <v>20</v>
      </c>
      <c r="F62" t="s">
        <v>40</v>
      </c>
      <c r="G62" t="s">
        <v>155</v>
      </c>
      <c r="H62">
        <v>3</v>
      </c>
      <c r="I62">
        <v>3938</v>
      </c>
      <c r="J62">
        <v>7</v>
      </c>
      <c r="K62" t="s">
        <v>36</v>
      </c>
      <c r="L62">
        <v>2</v>
      </c>
      <c r="M62">
        <v>1</v>
      </c>
      <c r="N62">
        <v>3</v>
      </c>
      <c r="O62">
        <v>4</v>
      </c>
      <c r="P62" t="s">
        <v>24</v>
      </c>
    </row>
    <row r="63" spans="1:16" x14ac:dyDescent="0.25">
      <c r="A63" t="s">
        <v>156</v>
      </c>
      <c r="B63">
        <v>35</v>
      </c>
      <c r="C63" t="s">
        <v>26</v>
      </c>
      <c r="D63" t="s">
        <v>19</v>
      </c>
      <c r="E63" t="s">
        <v>110</v>
      </c>
      <c r="F63" t="s">
        <v>128</v>
      </c>
      <c r="G63" t="s">
        <v>157</v>
      </c>
      <c r="H63">
        <v>0</v>
      </c>
      <c r="I63">
        <v>10887</v>
      </c>
      <c r="J63">
        <v>1</v>
      </c>
      <c r="K63" t="s">
        <v>24</v>
      </c>
      <c r="L63">
        <v>2</v>
      </c>
      <c r="M63">
        <v>2</v>
      </c>
      <c r="N63">
        <v>3</v>
      </c>
      <c r="O63">
        <v>5</v>
      </c>
      <c r="P63" t="s">
        <v>36</v>
      </c>
    </row>
    <row r="64" spans="1:16" x14ac:dyDescent="0.25">
      <c r="A64" t="s">
        <v>158</v>
      </c>
      <c r="B64">
        <v>39</v>
      </c>
      <c r="C64" t="s">
        <v>18</v>
      </c>
      <c r="D64" t="s">
        <v>19</v>
      </c>
      <c r="E64" t="s">
        <v>20</v>
      </c>
      <c r="F64" t="s">
        <v>21</v>
      </c>
      <c r="G64" t="s">
        <v>159</v>
      </c>
      <c r="H64">
        <v>4</v>
      </c>
      <c r="I64">
        <v>11031</v>
      </c>
      <c r="J64">
        <v>11</v>
      </c>
      <c r="K64" t="s">
        <v>24</v>
      </c>
      <c r="L64">
        <v>4</v>
      </c>
      <c r="M64">
        <v>3</v>
      </c>
      <c r="N64">
        <v>3</v>
      </c>
      <c r="O64">
        <v>0</v>
      </c>
      <c r="P64" t="s">
        <v>24</v>
      </c>
    </row>
    <row r="65" spans="1:16" x14ac:dyDescent="0.25">
      <c r="A65" t="s">
        <v>160</v>
      </c>
      <c r="B65">
        <v>29</v>
      </c>
      <c r="C65" t="s">
        <v>26</v>
      </c>
      <c r="D65" t="s">
        <v>27</v>
      </c>
      <c r="E65" t="s">
        <v>28</v>
      </c>
      <c r="F65" t="s">
        <v>64</v>
      </c>
      <c r="G65" t="s">
        <v>161</v>
      </c>
      <c r="H65">
        <v>0</v>
      </c>
      <c r="I65">
        <v>4511</v>
      </c>
      <c r="J65">
        <v>2</v>
      </c>
      <c r="K65" t="s">
        <v>24</v>
      </c>
      <c r="L65">
        <v>4</v>
      </c>
      <c r="M65">
        <v>3</v>
      </c>
      <c r="N65">
        <v>3</v>
      </c>
      <c r="O65">
        <v>3</v>
      </c>
      <c r="P65" t="s">
        <v>24</v>
      </c>
    </row>
    <row r="66" spans="1:16" x14ac:dyDescent="0.25">
      <c r="A66" t="s">
        <v>162</v>
      </c>
      <c r="B66">
        <v>39</v>
      </c>
      <c r="C66" t="s">
        <v>26</v>
      </c>
      <c r="D66" t="s">
        <v>33</v>
      </c>
      <c r="E66" t="s">
        <v>28</v>
      </c>
      <c r="F66" t="s">
        <v>29</v>
      </c>
      <c r="G66" t="s">
        <v>163</v>
      </c>
      <c r="H66">
        <v>5</v>
      </c>
      <c r="I66">
        <v>13342</v>
      </c>
      <c r="J66">
        <v>8</v>
      </c>
      <c r="K66" t="s">
        <v>36</v>
      </c>
      <c r="L66">
        <v>4</v>
      </c>
      <c r="M66">
        <v>2</v>
      </c>
      <c r="N66">
        <v>3</v>
      </c>
      <c r="O66">
        <v>4</v>
      </c>
      <c r="P66" t="s">
        <v>24</v>
      </c>
    </row>
    <row r="67" spans="1:16" x14ac:dyDescent="0.25">
      <c r="A67" t="s">
        <v>164</v>
      </c>
      <c r="B67">
        <v>28</v>
      </c>
      <c r="C67" t="s">
        <v>26</v>
      </c>
      <c r="D67" t="s">
        <v>33</v>
      </c>
      <c r="E67" t="s">
        <v>28</v>
      </c>
      <c r="F67" t="s">
        <v>59</v>
      </c>
      <c r="G67" t="s">
        <v>165</v>
      </c>
      <c r="H67">
        <v>1</v>
      </c>
      <c r="I67">
        <v>6331</v>
      </c>
      <c r="J67">
        <v>2</v>
      </c>
      <c r="K67" t="s">
        <v>24</v>
      </c>
      <c r="L67">
        <v>3</v>
      </c>
      <c r="M67">
        <v>1</v>
      </c>
      <c r="N67">
        <v>3</v>
      </c>
      <c r="O67">
        <v>3</v>
      </c>
      <c r="P67" t="s">
        <v>24</v>
      </c>
    </row>
    <row r="68" spans="1:16" x14ac:dyDescent="0.25">
      <c r="A68" t="s">
        <v>166</v>
      </c>
      <c r="B68">
        <v>20</v>
      </c>
      <c r="C68" t="s">
        <v>26</v>
      </c>
      <c r="D68" t="s">
        <v>33</v>
      </c>
      <c r="E68" t="s">
        <v>20</v>
      </c>
      <c r="F68" t="s">
        <v>44</v>
      </c>
      <c r="G68" t="s">
        <v>167</v>
      </c>
      <c r="H68">
        <v>0</v>
      </c>
      <c r="I68">
        <v>4804</v>
      </c>
      <c r="J68">
        <v>17</v>
      </c>
      <c r="K68" t="s">
        <v>36</v>
      </c>
      <c r="L68">
        <v>2</v>
      </c>
      <c r="M68">
        <v>2</v>
      </c>
      <c r="N68">
        <v>3</v>
      </c>
      <c r="O68">
        <v>4</v>
      </c>
      <c r="P68" t="s">
        <v>36</v>
      </c>
    </row>
    <row r="69" spans="1:16" x14ac:dyDescent="0.25">
      <c r="A69" t="s">
        <v>1131</v>
      </c>
      <c r="B69">
        <v>20</v>
      </c>
      <c r="C69" t="s">
        <v>26</v>
      </c>
      <c r="D69" t="s">
        <v>33</v>
      </c>
      <c r="E69" t="s">
        <v>20</v>
      </c>
      <c r="F69" t="s">
        <v>40</v>
      </c>
      <c r="G69" t="s">
        <v>1132</v>
      </c>
      <c r="H69">
        <v>5</v>
      </c>
      <c r="I69">
        <v>2638</v>
      </c>
      <c r="J69">
        <v>9</v>
      </c>
      <c r="K69" t="s">
        <v>24</v>
      </c>
      <c r="L69">
        <v>2</v>
      </c>
      <c r="N69">
        <v>4</v>
      </c>
      <c r="O69">
        <v>1</v>
      </c>
      <c r="P69" t="s">
        <v>24</v>
      </c>
    </row>
    <row r="70" spans="1:16" x14ac:dyDescent="0.25">
      <c r="A70" t="s">
        <v>168</v>
      </c>
      <c r="B70">
        <v>32</v>
      </c>
      <c r="C70" t="s">
        <v>18</v>
      </c>
      <c r="D70" t="s">
        <v>33</v>
      </c>
      <c r="E70" t="s">
        <v>20</v>
      </c>
      <c r="F70" t="s">
        <v>40</v>
      </c>
      <c r="G70" t="s">
        <v>169</v>
      </c>
      <c r="H70">
        <v>4</v>
      </c>
      <c r="I70">
        <v>4472</v>
      </c>
      <c r="J70">
        <v>27</v>
      </c>
      <c r="K70" t="s">
        <v>24</v>
      </c>
      <c r="L70">
        <v>4</v>
      </c>
      <c r="M70">
        <v>3</v>
      </c>
      <c r="N70">
        <v>3</v>
      </c>
      <c r="O70">
        <v>0</v>
      </c>
      <c r="P70" t="s">
        <v>24</v>
      </c>
    </row>
    <row r="71" spans="1:16" x14ac:dyDescent="0.25">
      <c r="A71" t="s">
        <v>170</v>
      </c>
      <c r="B71">
        <v>39</v>
      </c>
      <c r="C71" t="s">
        <v>18</v>
      </c>
      <c r="D71" t="s">
        <v>19</v>
      </c>
      <c r="E71" t="s">
        <v>28</v>
      </c>
      <c r="F71" t="s">
        <v>34</v>
      </c>
      <c r="G71" t="s">
        <v>171</v>
      </c>
      <c r="H71">
        <v>6</v>
      </c>
      <c r="I71">
        <v>3584</v>
      </c>
      <c r="J71">
        <v>3</v>
      </c>
      <c r="K71" t="s">
        <v>24</v>
      </c>
      <c r="L71">
        <v>4</v>
      </c>
      <c r="M71">
        <v>3</v>
      </c>
      <c r="N71">
        <v>4</v>
      </c>
      <c r="O71">
        <v>5</v>
      </c>
      <c r="P71" t="s">
        <v>24</v>
      </c>
    </row>
    <row r="72" spans="1:16" x14ac:dyDescent="0.25">
      <c r="A72" t="s">
        <v>172</v>
      </c>
      <c r="B72">
        <v>33</v>
      </c>
      <c r="C72" t="s">
        <v>26</v>
      </c>
      <c r="D72" t="s">
        <v>19</v>
      </c>
      <c r="E72" t="s">
        <v>28</v>
      </c>
      <c r="F72" t="s">
        <v>64</v>
      </c>
      <c r="G72" t="s">
        <v>173</v>
      </c>
      <c r="H72">
        <v>0</v>
      </c>
      <c r="I72">
        <v>5089</v>
      </c>
      <c r="J72">
        <v>1</v>
      </c>
      <c r="K72" t="s">
        <v>24</v>
      </c>
      <c r="L72">
        <v>4</v>
      </c>
      <c r="M72">
        <v>4</v>
      </c>
      <c r="N72">
        <v>3</v>
      </c>
      <c r="O72">
        <v>4</v>
      </c>
      <c r="P72" t="s">
        <v>24</v>
      </c>
    </row>
    <row r="73" spans="1:16" x14ac:dyDescent="0.25">
      <c r="A73" t="s">
        <v>174</v>
      </c>
      <c r="B73">
        <v>42</v>
      </c>
      <c r="C73" t="s">
        <v>26</v>
      </c>
      <c r="D73" t="s">
        <v>27</v>
      </c>
      <c r="E73" t="s">
        <v>110</v>
      </c>
      <c r="F73" t="s">
        <v>111</v>
      </c>
      <c r="G73" t="s">
        <v>175</v>
      </c>
      <c r="H73">
        <v>0</v>
      </c>
      <c r="I73">
        <v>3682</v>
      </c>
      <c r="J73">
        <v>2</v>
      </c>
      <c r="K73" t="s">
        <v>24</v>
      </c>
      <c r="L73">
        <v>4</v>
      </c>
      <c r="M73">
        <v>3</v>
      </c>
      <c r="N73">
        <v>3</v>
      </c>
      <c r="O73">
        <v>3</v>
      </c>
      <c r="P73" t="s">
        <v>24</v>
      </c>
    </row>
    <row r="74" spans="1:16" x14ac:dyDescent="0.25">
      <c r="A74" t="s">
        <v>176</v>
      </c>
      <c r="B74">
        <v>40</v>
      </c>
      <c r="C74" t="s">
        <v>18</v>
      </c>
      <c r="D74" t="s">
        <v>19</v>
      </c>
      <c r="E74" t="s">
        <v>28</v>
      </c>
      <c r="F74" t="s">
        <v>59</v>
      </c>
      <c r="G74" t="s">
        <v>177</v>
      </c>
      <c r="H74">
        <v>17</v>
      </c>
      <c r="I74">
        <v>7244</v>
      </c>
      <c r="J74">
        <v>6</v>
      </c>
      <c r="K74" t="s">
        <v>24</v>
      </c>
      <c r="L74">
        <v>2</v>
      </c>
      <c r="M74">
        <v>4</v>
      </c>
      <c r="N74">
        <v>3</v>
      </c>
      <c r="O74">
        <v>3</v>
      </c>
      <c r="P74" t="s">
        <v>24</v>
      </c>
    </row>
    <row r="75" spans="1:16" x14ac:dyDescent="0.25">
      <c r="A75" t="s">
        <v>178</v>
      </c>
      <c r="B75">
        <v>28</v>
      </c>
      <c r="C75" t="s">
        <v>26</v>
      </c>
      <c r="D75" t="s">
        <v>19</v>
      </c>
      <c r="E75" t="s">
        <v>20</v>
      </c>
      <c r="F75" t="s">
        <v>40</v>
      </c>
      <c r="G75" t="s">
        <v>179</v>
      </c>
      <c r="H75">
        <v>4</v>
      </c>
      <c r="I75">
        <v>3655</v>
      </c>
      <c r="J75">
        <v>1</v>
      </c>
      <c r="K75" t="s">
        <v>36</v>
      </c>
      <c r="L75">
        <v>2</v>
      </c>
      <c r="M75">
        <v>4</v>
      </c>
      <c r="N75">
        <v>3</v>
      </c>
      <c r="O75">
        <v>3</v>
      </c>
      <c r="P75" t="s">
        <v>36</v>
      </c>
    </row>
    <row r="76" spans="1:16" x14ac:dyDescent="0.25">
      <c r="A76" t="s">
        <v>180</v>
      </c>
      <c r="B76">
        <v>40</v>
      </c>
      <c r="C76" t="s">
        <v>18</v>
      </c>
      <c r="D76" t="s">
        <v>33</v>
      </c>
      <c r="E76" t="s">
        <v>1133</v>
      </c>
      <c r="F76" t="s">
        <v>44</v>
      </c>
      <c r="G76" t="s">
        <v>181</v>
      </c>
      <c r="H76">
        <v>10</v>
      </c>
      <c r="I76">
        <v>7446</v>
      </c>
      <c r="J76">
        <v>6</v>
      </c>
      <c r="K76" t="s">
        <v>36</v>
      </c>
      <c r="L76">
        <v>1</v>
      </c>
      <c r="M76">
        <v>2</v>
      </c>
      <c r="N76">
        <v>3</v>
      </c>
      <c r="O76">
        <v>0</v>
      </c>
      <c r="P76" t="s">
        <v>24</v>
      </c>
    </row>
    <row r="77" spans="1:16" x14ac:dyDescent="0.25">
      <c r="A77" t="s">
        <v>182</v>
      </c>
      <c r="B77">
        <v>29</v>
      </c>
      <c r="C77" t="s">
        <v>18</v>
      </c>
      <c r="D77" t="s">
        <v>33</v>
      </c>
      <c r="E77" t="s">
        <v>28</v>
      </c>
      <c r="F77" t="s">
        <v>34</v>
      </c>
      <c r="G77" t="s">
        <v>183</v>
      </c>
      <c r="H77">
        <v>6</v>
      </c>
      <c r="I77">
        <v>3924</v>
      </c>
      <c r="J77">
        <v>30</v>
      </c>
      <c r="K77" t="s">
        <v>36</v>
      </c>
      <c r="L77">
        <v>4</v>
      </c>
      <c r="M77">
        <v>3</v>
      </c>
      <c r="N77">
        <v>3</v>
      </c>
      <c r="O77">
        <v>0</v>
      </c>
      <c r="P77" t="s">
        <v>24</v>
      </c>
    </row>
    <row r="78" spans="1:16" x14ac:dyDescent="0.25">
      <c r="A78" t="s">
        <v>184</v>
      </c>
      <c r="B78">
        <v>25</v>
      </c>
      <c r="C78" t="s">
        <v>18</v>
      </c>
      <c r="D78" t="s">
        <v>33</v>
      </c>
      <c r="E78" t="s">
        <v>28</v>
      </c>
      <c r="F78" t="s">
        <v>64</v>
      </c>
      <c r="G78" t="s">
        <v>185</v>
      </c>
      <c r="H78">
        <v>2</v>
      </c>
      <c r="I78">
        <v>5399</v>
      </c>
      <c r="J78">
        <v>7</v>
      </c>
      <c r="K78" t="s">
        <v>24</v>
      </c>
      <c r="L78">
        <v>2</v>
      </c>
      <c r="M78">
        <v>1</v>
      </c>
      <c r="N78">
        <v>3</v>
      </c>
      <c r="O78">
        <v>2</v>
      </c>
      <c r="P78" t="s">
        <v>24</v>
      </c>
    </row>
    <row r="79" spans="1:16" x14ac:dyDescent="0.25">
      <c r="A79" t="s">
        <v>1134</v>
      </c>
      <c r="B79">
        <v>23</v>
      </c>
      <c r="C79" t="s">
        <v>18</v>
      </c>
      <c r="D79" t="s">
        <v>33</v>
      </c>
      <c r="E79" t="s">
        <v>28</v>
      </c>
      <c r="F79" t="s">
        <v>59</v>
      </c>
      <c r="G79" t="s">
        <v>296</v>
      </c>
      <c r="H79">
        <v>1</v>
      </c>
      <c r="I79">
        <v>5542</v>
      </c>
      <c r="J79">
        <v>1</v>
      </c>
      <c r="K79" t="s">
        <v>24</v>
      </c>
      <c r="L79">
        <v>4</v>
      </c>
      <c r="N79">
        <v>4</v>
      </c>
      <c r="O79">
        <v>0</v>
      </c>
      <c r="P79" t="s">
        <v>24</v>
      </c>
    </row>
    <row r="80" spans="1:16" x14ac:dyDescent="0.25">
      <c r="A80" t="s">
        <v>186</v>
      </c>
      <c r="B80">
        <v>33</v>
      </c>
      <c r="C80" t="s">
        <v>26</v>
      </c>
      <c r="D80" t="s">
        <v>19</v>
      </c>
      <c r="E80" t="s">
        <v>28</v>
      </c>
      <c r="F80" t="s">
        <v>29</v>
      </c>
      <c r="G80" t="s">
        <v>187</v>
      </c>
      <c r="H80">
        <v>0</v>
      </c>
      <c r="I80">
        <v>12598</v>
      </c>
      <c r="J80">
        <v>5</v>
      </c>
      <c r="K80" t="s">
        <v>36</v>
      </c>
      <c r="L80">
        <v>2</v>
      </c>
      <c r="M80">
        <v>2</v>
      </c>
      <c r="N80">
        <v>3</v>
      </c>
      <c r="O80">
        <v>4</v>
      </c>
      <c r="P80" t="s">
        <v>36</v>
      </c>
    </row>
    <row r="81" spans="1:16" x14ac:dyDescent="0.25">
      <c r="A81" t="s">
        <v>1135</v>
      </c>
      <c r="B81">
        <v>40</v>
      </c>
      <c r="C81" t="s">
        <v>18</v>
      </c>
      <c r="D81" t="s">
        <v>33</v>
      </c>
      <c r="E81" t="s">
        <v>110</v>
      </c>
      <c r="F81" t="s">
        <v>111</v>
      </c>
      <c r="G81" t="s">
        <v>1136</v>
      </c>
      <c r="H81">
        <v>3</v>
      </c>
      <c r="J81">
        <v>13</v>
      </c>
      <c r="K81" t="s">
        <v>24</v>
      </c>
      <c r="L81">
        <v>1</v>
      </c>
      <c r="M81">
        <v>3</v>
      </c>
      <c r="N81">
        <v>3</v>
      </c>
      <c r="O81">
        <v>4</v>
      </c>
      <c r="P81" t="s">
        <v>24</v>
      </c>
    </row>
    <row r="82" spans="1:16" x14ac:dyDescent="0.25">
      <c r="A82" t="s">
        <v>188</v>
      </c>
      <c r="B82">
        <v>48</v>
      </c>
      <c r="C82" t="s">
        <v>18</v>
      </c>
      <c r="D82" t="s">
        <v>33</v>
      </c>
      <c r="E82" t="s">
        <v>110</v>
      </c>
      <c r="F82" t="s">
        <v>189</v>
      </c>
      <c r="G82" t="s">
        <v>190</v>
      </c>
      <c r="H82">
        <v>8</v>
      </c>
      <c r="I82">
        <v>4269</v>
      </c>
      <c r="J82">
        <v>6</v>
      </c>
      <c r="K82" t="s">
        <v>24</v>
      </c>
      <c r="L82">
        <v>4</v>
      </c>
      <c r="M82">
        <v>2</v>
      </c>
      <c r="N82">
        <v>4</v>
      </c>
      <c r="O82">
        <v>3</v>
      </c>
      <c r="P82" t="s">
        <v>24</v>
      </c>
    </row>
    <row r="83" spans="1:16" x14ac:dyDescent="0.25">
      <c r="A83" t="s">
        <v>191</v>
      </c>
      <c r="B83">
        <v>20</v>
      </c>
      <c r="C83" t="s">
        <v>18</v>
      </c>
      <c r="D83" t="s">
        <v>33</v>
      </c>
      <c r="E83" t="s">
        <v>20</v>
      </c>
      <c r="F83" t="s">
        <v>40</v>
      </c>
      <c r="G83" t="s">
        <v>192</v>
      </c>
      <c r="H83">
        <v>4</v>
      </c>
      <c r="I83">
        <v>3896</v>
      </c>
      <c r="J83">
        <v>18</v>
      </c>
      <c r="K83" t="s">
        <v>24</v>
      </c>
      <c r="L83">
        <v>4</v>
      </c>
      <c r="M83">
        <v>3</v>
      </c>
      <c r="N83">
        <v>3</v>
      </c>
      <c r="O83">
        <v>4</v>
      </c>
      <c r="P83" t="s">
        <v>24</v>
      </c>
    </row>
    <row r="84" spans="1:16" x14ac:dyDescent="0.25">
      <c r="A84" t="s">
        <v>193</v>
      </c>
      <c r="B84">
        <v>42</v>
      </c>
      <c r="C84" t="s">
        <v>26</v>
      </c>
      <c r="D84" t="s">
        <v>27</v>
      </c>
      <c r="E84" t="s">
        <v>28</v>
      </c>
      <c r="F84" t="s">
        <v>34</v>
      </c>
      <c r="G84" t="s">
        <v>194</v>
      </c>
      <c r="H84">
        <v>2</v>
      </c>
      <c r="I84">
        <v>3264</v>
      </c>
      <c r="J84">
        <v>1</v>
      </c>
      <c r="K84" t="s">
        <v>24</v>
      </c>
      <c r="L84">
        <v>3</v>
      </c>
      <c r="M84">
        <v>3</v>
      </c>
      <c r="N84">
        <v>3</v>
      </c>
      <c r="O84">
        <v>2</v>
      </c>
      <c r="P84" t="s">
        <v>24</v>
      </c>
    </row>
    <row r="85" spans="1:16" x14ac:dyDescent="0.25">
      <c r="A85" t="s">
        <v>195</v>
      </c>
      <c r="B85">
        <v>40</v>
      </c>
      <c r="C85" t="s">
        <v>18</v>
      </c>
      <c r="D85" t="s">
        <v>33</v>
      </c>
      <c r="E85" t="s">
        <v>28</v>
      </c>
      <c r="F85" t="s">
        <v>29</v>
      </c>
      <c r="G85" t="s">
        <v>196</v>
      </c>
      <c r="H85">
        <v>2</v>
      </c>
      <c r="I85">
        <v>9427</v>
      </c>
      <c r="J85">
        <v>2</v>
      </c>
      <c r="K85" t="s">
        <v>24</v>
      </c>
      <c r="L85">
        <v>4</v>
      </c>
      <c r="M85">
        <v>3</v>
      </c>
      <c r="N85">
        <v>3</v>
      </c>
      <c r="O85">
        <v>2</v>
      </c>
      <c r="P85" t="s">
        <v>24</v>
      </c>
    </row>
    <row r="86" spans="1:16" x14ac:dyDescent="0.25">
      <c r="A86" t="s">
        <v>197</v>
      </c>
      <c r="B86">
        <v>37</v>
      </c>
      <c r="C86" t="s">
        <v>26</v>
      </c>
      <c r="D86" t="s">
        <v>19</v>
      </c>
      <c r="E86" t="s">
        <v>28</v>
      </c>
      <c r="F86" t="s">
        <v>59</v>
      </c>
      <c r="G86" t="s">
        <v>198</v>
      </c>
      <c r="H86">
        <v>4</v>
      </c>
      <c r="I86">
        <v>5587</v>
      </c>
      <c r="J86">
        <v>22</v>
      </c>
      <c r="K86" t="s">
        <v>36</v>
      </c>
      <c r="L86">
        <v>4</v>
      </c>
      <c r="M86">
        <v>2</v>
      </c>
      <c r="N86">
        <v>3</v>
      </c>
      <c r="O86">
        <v>3</v>
      </c>
      <c r="P86" t="s">
        <v>24</v>
      </c>
    </row>
    <row r="87" spans="1:16" x14ac:dyDescent="0.25">
      <c r="A87" t="s">
        <v>199</v>
      </c>
      <c r="B87">
        <v>20</v>
      </c>
      <c r="C87" t="s">
        <v>18</v>
      </c>
      <c r="D87" t="s">
        <v>19</v>
      </c>
      <c r="E87" t="s">
        <v>110</v>
      </c>
      <c r="F87" t="s">
        <v>111</v>
      </c>
      <c r="G87" t="s">
        <v>200</v>
      </c>
      <c r="H87">
        <v>2</v>
      </c>
      <c r="I87">
        <v>4120</v>
      </c>
      <c r="J87">
        <v>4</v>
      </c>
      <c r="K87" t="s">
        <v>36</v>
      </c>
      <c r="L87">
        <v>3</v>
      </c>
      <c r="M87">
        <v>1</v>
      </c>
      <c r="N87">
        <v>3</v>
      </c>
      <c r="O87">
        <v>3</v>
      </c>
      <c r="P87" t="s">
        <v>24</v>
      </c>
    </row>
    <row r="88" spans="1:16" x14ac:dyDescent="0.25">
      <c r="A88" t="s">
        <v>201</v>
      </c>
      <c r="B88">
        <v>26</v>
      </c>
      <c r="C88" t="s">
        <v>26</v>
      </c>
      <c r="D88" t="s">
        <v>19</v>
      </c>
      <c r="E88" t="s">
        <v>20</v>
      </c>
      <c r="F88" t="s">
        <v>21</v>
      </c>
      <c r="G88" t="s">
        <v>202</v>
      </c>
      <c r="H88">
        <v>4</v>
      </c>
      <c r="I88">
        <v>13165</v>
      </c>
      <c r="J88">
        <v>1</v>
      </c>
      <c r="K88" t="s">
        <v>24</v>
      </c>
      <c r="L88">
        <v>3</v>
      </c>
      <c r="M88">
        <v>3</v>
      </c>
      <c r="N88">
        <v>4</v>
      </c>
      <c r="O88">
        <v>2</v>
      </c>
      <c r="P88" t="s">
        <v>36</v>
      </c>
    </row>
    <row r="89" spans="1:16" x14ac:dyDescent="0.25">
      <c r="A89" t="s">
        <v>203</v>
      </c>
      <c r="B89">
        <v>20</v>
      </c>
      <c r="C89" t="s">
        <v>18</v>
      </c>
      <c r="D89" t="s">
        <v>27</v>
      </c>
      <c r="E89" t="s">
        <v>20</v>
      </c>
      <c r="F89" t="s">
        <v>21</v>
      </c>
      <c r="G89" t="s">
        <v>204</v>
      </c>
      <c r="H89">
        <v>10</v>
      </c>
      <c r="I89">
        <v>13049</v>
      </c>
      <c r="J89">
        <v>1</v>
      </c>
      <c r="K89" t="s">
        <v>36</v>
      </c>
      <c r="L89">
        <v>1</v>
      </c>
      <c r="M89">
        <v>3</v>
      </c>
      <c r="N89">
        <v>3</v>
      </c>
      <c r="O89">
        <v>2</v>
      </c>
      <c r="P89" t="s">
        <v>24</v>
      </c>
    </row>
    <row r="90" spans="1:16" x14ac:dyDescent="0.25">
      <c r="A90" t="s">
        <v>205</v>
      </c>
      <c r="B90">
        <v>44</v>
      </c>
      <c r="C90" t="s">
        <v>18</v>
      </c>
      <c r="D90" t="s">
        <v>19</v>
      </c>
      <c r="E90" t="s">
        <v>20</v>
      </c>
      <c r="F90" t="s">
        <v>40</v>
      </c>
      <c r="G90" t="s">
        <v>206</v>
      </c>
      <c r="H90">
        <v>8</v>
      </c>
      <c r="I90">
        <v>3832</v>
      </c>
      <c r="J90">
        <v>3</v>
      </c>
      <c r="K90" t="s">
        <v>24</v>
      </c>
      <c r="L90">
        <v>3</v>
      </c>
      <c r="M90">
        <v>4</v>
      </c>
      <c r="N90">
        <v>3</v>
      </c>
      <c r="O90">
        <v>3</v>
      </c>
      <c r="P90" t="s">
        <v>24</v>
      </c>
    </row>
    <row r="91" spans="1:16" x14ac:dyDescent="0.25">
      <c r="A91" t="s">
        <v>207</v>
      </c>
      <c r="B91">
        <v>40</v>
      </c>
      <c r="C91" t="s">
        <v>18</v>
      </c>
      <c r="D91" t="s">
        <v>19</v>
      </c>
      <c r="E91" t="s">
        <v>110</v>
      </c>
      <c r="F91" t="s">
        <v>189</v>
      </c>
      <c r="G91" t="s">
        <v>208</v>
      </c>
      <c r="H91">
        <v>2</v>
      </c>
      <c r="I91">
        <v>4898</v>
      </c>
      <c r="J91">
        <v>9</v>
      </c>
      <c r="K91" t="s">
        <v>24</v>
      </c>
      <c r="L91">
        <v>1</v>
      </c>
      <c r="M91">
        <v>4</v>
      </c>
      <c r="N91">
        <v>3</v>
      </c>
      <c r="O91">
        <v>5</v>
      </c>
      <c r="P91" t="s">
        <v>24</v>
      </c>
    </row>
    <row r="92" spans="1:16" x14ac:dyDescent="0.25">
      <c r="A92" t="s">
        <v>209</v>
      </c>
      <c r="B92">
        <v>37</v>
      </c>
      <c r="C92" t="s">
        <v>26</v>
      </c>
      <c r="D92" t="s">
        <v>33</v>
      </c>
      <c r="E92" t="s">
        <v>28</v>
      </c>
      <c r="F92" t="s">
        <v>34</v>
      </c>
      <c r="G92" t="s">
        <v>210</v>
      </c>
      <c r="H92">
        <v>5</v>
      </c>
      <c r="I92">
        <v>3881</v>
      </c>
      <c r="J92">
        <v>7</v>
      </c>
      <c r="K92" t="s">
        <v>24</v>
      </c>
      <c r="L92">
        <v>1</v>
      </c>
      <c r="M92">
        <v>2</v>
      </c>
      <c r="N92">
        <v>3</v>
      </c>
      <c r="O92">
        <v>5</v>
      </c>
      <c r="P92" t="s">
        <v>24</v>
      </c>
    </row>
    <row r="93" spans="1:16" x14ac:dyDescent="0.25">
      <c r="A93" t="s">
        <v>211</v>
      </c>
      <c r="B93">
        <v>50</v>
      </c>
      <c r="C93" t="s">
        <v>18</v>
      </c>
      <c r="D93" t="s">
        <v>27</v>
      </c>
      <c r="E93" t="s">
        <v>20</v>
      </c>
      <c r="F93" t="s">
        <v>21</v>
      </c>
      <c r="G93" t="s">
        <v>212</v>
      </c>
      <c r="H93">
        <v>3</v>
      </c>
      <c r="I93">
        <v>11402</v>
      </c>
      <c r="J93">
        <v>1</v>
      </c>
      <c r="K93" t="s">
        <v>24</v>
      </c>
      <c r="L93">
        <v>3</v>
      </c>
      <c r="M93">
        <v>3</v>
      </c>
      <c r="N93">
        <v>3</v>
      </c>
      <c r="O93">
        <v>1</v>
      </c>
      <c r="P93" t="s">
        <v>24</v>
      </c>
    </row>
    <row r="94" spans="1:16" x14ac:dyDescent="0.25">
      <c r="A94" t="s">
        <v>213</v>
      </c>
      <c r="B94">
        <v>33</v>
      </c>
      <c r="C94" t="s">
        <v>26</v>
      </c>
      <c r="D94" t="s">
        <v>27</v>
      </c>
      <c r="E94" t="s">
        <v>20</v>
      </c>
      <c r="F94" t="s">
        <v>40</v>
      </c>
      <c r="G94" t="s">
        <v>214</v>
      </c>
      <c r="H94">
        <v>3</v>
      </c>
      <c r="I94">
        <v>3225</v>
      </c>
      <c r="J94">
        <v>1</v>
      </c>
      <c r="K94" t="s">
        <v>24</v>
      </c>
      <c r="L94">
        <v>4</v>
      </c>
      <c r="M94">
        <v>2</v>
      </c>
      <c r="N94">
        <v>3</v>
      </c>
      <c r="O94">
        <v>3</v>
      </c>
      <c r="P94" t="s">
        <v>36</v>
      </c>
    </row>
    <row r="95" spans="1:16" x14ac:dyDescent="0.25">
      <c r="A95" t="s">
        <v>215</v>
      </c>
      <c r="B95">
        <v>32</v>
      </c>
      <c r="C95" t="s">
        <v>18</v>
      </c>
      <c r="D95" t="s">
        <v>33</v>
      </c>
      <c r="E95" t="s">
        <v>28</v>
      </c>
      <c r="F95" t="s">
        <v>34</v>
      </c>
      <c r="G95" t="s">
        <v>216</v>
      </c>
      <c r="H95">
        <v>5</v>
      </c>
      <c r="I95">
        <v>2532</v>
      </c>
      <c r="J95">
        <v>4</v>
      </c>
      <c r="K95" t="s">
        <v>36</v>
      </c>
      <c r="L95">
        <v>4</v>
      </c>
      <c r="M95">
        <v>2</v>
      </c>
      <c r="N95">
        <v>3</v>
      </c>
      <c r="O95">
        <v>2</v>
      </c>
      <c r="P95" t="s">
        <v>36</v>
      </c>
    </row>
    <row r="96" spans="1:16" x14ac:dyDescent="0.25">
      <c r="A96" t="s">
        <v>217</v>
      </c>
      <c r="B96">
        <v>38</v>
      </c>
      <c r="C96" t="s">
        <v>18</v>
      </c>
      <c r="D96" t="s">
        <v>33</v>
      </c>
      <c r="E96" t="s">
        <v>28</v>
      </c>
      <c r="F96" t="s">
        <v>29</v>
      </c>
      <c r="G96" t="s">
        <v>218</v>
      </c>
      <c r="H96">
        <v>5</v>
      </c>
      <c r="I96">
        <v>11803</v>
      </c>
      <c r="J96">
        <v>1</v>
      </c>
      <c r="K96" t="s">
        <v>24</v>
      </c>
      <c r="L96">
        <v>4</v>
      </c>
      <c r="M96">
        <v>3</v>
      </c>
      <c r="N96">
        <v>3</v>
      </c>
      <c r="O96">
        <v>1</v>
      </c>
      <c r="P96" t="s">
        <v>24</v>
      </c>
    </row>
    <row r="97" spans="1:16" x14ac:dyDescent="0.25">
      <c r="A97" t="s">
        <v>219</v>
      </c>
      <c r="B97">
        <v>49</v>
      </c>
      <c r="C97" t="s">
        <v>26</v>
      </c>
      <c r="D97" t="s">
        <v>27</v>
      </c>
      <c r="E97" t="s">
        <v>1130</v>
      </c>
      <c r="F97" t="s">
        <v>64</v>
      </c>
      <c r="G97" t="s">
        <v>220</v>
      </c>
      <c r="H97">
        <v>9</v>
      </c>
      <c r="I97">
        <v>5542</v>
      </c>
      <c r="J97">
        <v>1</v>
      </c>
      <c r="K97" t="s">
        <v>24</v>
      </c>
      <c r="L97">
        <v>1</v>
      </c>
      <c r="M97">
        <v>4</v>
      </c>
      <c r="N97">
        <v>3</v>
      </c>
      <c r="O97">
        <v>1</v>
      </c>
      <c r="P97" t="s">
        <v>24</v>
      </c>
    </row>
    <row r="98" spans="1:16" x14ac:dyDescent="0.25">
      <c r="A98" t="s">
        <v>221</v>
      </c>
      <c r="B98">
        <v>37</v>
      </c>
      <c r="C98" t="s">
        <v>18</v>
      </c>
      <c r="D98" t="s">
        <v>19</v>
      </c>
      <c r="E98" t="s">
        <v>1137</v>
      </c>
      <c r="F98" t="s">
        <v>40</v>
      </c>
      <c r="G98" t="s">
        <v>222</v>
      </c>
      <c r="H98">
        <v>1</v>
      </c>
      <c r="I98">
        <v>4044</v>
      </c>
      <c r="J98">
        <v>7</v>
      </c>
      <c r="K98" t="s">
        <v>24</v>
      </c>
      <c r="L98">
        <v>2</v>
      </c>
      <c r="M98">
        <v>4</v>
      </c>
      <c r="N98">
        <v>3</v>
      </c>
      <c r="O98">
        <v>4</v>
      </c>
      <c r="P98" t="s">
        <v>24</v>
      </c>
    </row>
    <row r="99" spans="1:16" x14ac:dyDescent="0.25">
      <c r="A99" t="s">
        <v>223</v>
      </c>
      <c r="B99">
        <v>41</v>
      </c>
      <c r="C99" t="s">
        <v>18</v>
      </c>
      <c r="D99" t="s">
        <v>33</v>
      </c>
      <c r="E99" t="s">
        <v>28</v>
      </c>
      <c r="F99" t="s">
        <v>34</v>
      </c>
      <c r="G99" t="s">
        <v>224</v>
      </c>
      <c r="H99">
        <v>0</v>
      </c>
      <c r="I99">
        <v>3060</v>
      </c>
      <c r="J99">
        <v>13</v>
      </c>
      <c r="K99" t="s">
        <v>24</v>
      </c>
      <c r="L99">
        <v>3</v>
      </c>
      <c r="M99">
        <v>2</v>
      </c>
      <c r="N99">
        <v>3</v>
      </c>
      <c r="O99">
        <v>2</v>
      </c>
      <c r="P99" t="s">
        <v>24</v>
      </c>
    </row>
    <row r="100" spans="1:16" x14ac:dyDescent="0.25">
      <c r="A100" t="s">
        <v>225</v>
      </c>
      <c r="B100">
        <v>31</v>
      </c>
      <c r="C100" t="s">
        <v>26</v>
      </c>
      <c r="D100" t="s">
        <v>27</v>
      </c>
      <c r="E100" t="s">
        <v>20</v>
      </c>
      <c r="F100" t="s">
        <v>21</v>
      </c>
      <c r="G100" t="s">
        <v>226</v>
      </c>
      <c r="H100">
        <v>0</v>
      </c>
      <c r="I100">
        <v>11223</v>
      </c>
      <c r="J100">
        <v>8</v>
      </c>
      <c r="K100" t="s">
        <v>24</v>
      </c>
      <c r="L100">
        <v>2</v>
      </c>
      <c r="M100">
        <v>2</v>
      </c>
      <c r="N100">
        <v>4</v>
      </c>
      <c r="O100">
        <v>4</v>
      </c>
      <c r="P100" t="s">
        <v>24</v>
      </c>
    </row>
    <row r="101" spans="1:16" x14ac:dyDescent="0.25">
      <c r="A101" t="s">
        <v>227</v>
      </c>
      <c r="B101">
        <v>47</v>
      </c>
      <c r="C101" t="s">
        <v>26</v>
      </c>
      <c r="D101" t="s">
        <v>33</v>
      </c>
      <c r="E101" t="s">
        <v>110</v>
      </c>
      <c r="F101" t="s">
        <v>189</v>
      </c>
      <c r="G101" t="s">
        <v>228</v>
      </c>
      <c r="H101">
        <v>0</v>
      </c>
      <c r="I101">
        <v>4202</v>
      </c>
      <c r="J101">
        <v>4</v>
      </c>
      <c r="K101" t="s">
        <v>36</v>
      </c>
      <c r="L101">
        <v>4</v>
      </c>
      <c r="M101">
        <v>3</v>
      </c>
      <c r="N101">
        <v>3</v>
      </c>
      <c r="O101">
        <v>0</v>
      </c>
      <c r="P101" t="s">
        <v>24</v>
      </c>
    </row>
    <row r="102" spans="1:16" x14ac:dyDescent="0.25">
      <c r="A102" t="s">
        <v>229</v>
      </c>
      <c r="B102">
        <v>46</v>
      </c>
      <c r="C102" t="s">
        <v>26</v>
      </c>
      <c r="D102" t="s">
        <v>33</v>
      </c>
      <c r="E102" t="s">
        <v>20</v>
      </c>
      <c r="F102" t="s">
        <v>21</v>
      </c>
      <c r="G102" t="s">
        <v>230</v>
      </c>
      <c r="H102">
        <v>2</v>
      </c>
      <c r="I102">
        <v>8930</v>
      </c>
      <c r="J102">
        <v>2</v>
      </c>
      <c r="K102" t="s">
        <v>24</v>
      </c>
      <c r="L102">
        <v>3</v>
      </c>
      <c r="M102">
        <v>4</v>
      </c>
      <c r="N102">
        <v>4</v>
      </c>
      <c r="O102">
        <v>4</v>
      </c>
      <c r="P102" t="s">
        <v>24</v>
      </c>
    </row>
    <row r="103" spans="1:16" x14ac:dyDescent="0.25">
      <c r="A103" t="s">
        <v>231</v>
      </c>
      <c r="B103">
        <v>28</v>
      </c>
      <c r="C103" t="s">
        <v>26</v>
      </c>
      <c r="D103" t="s">
        <v>19</v>
      </c>
      <c r="E103" t="s">
        <v>28</v>
      </c>
      <c r="F103" t="s">
        <v>59</v>
      </c>
      <c r="G103" t="s">
        <v>232</v>
      </c>
      <c r="H103">
        <v>1</v>
      </c>
      <c r="I103">
        <v>6810</v>
      </c>
      <c r="J103">
        <v>1</v>
      </c>
      <c r="K103" t="s">
        <v>24</v>
      </c>
      <c r="L103">
        <v>1</v>
      </c>
      <c r="M103">
        <v>3</v>
      </c>
      <c r="N103">
        <v>3</v>
      </c>
      <c r="O103">
        <v>0</v>
      </c>
      <c r="P103" t="s">
        <v>24</v>
      </c>
    </row>
    <row r="104" spans="1:16" x14ac:dyDescent="0.25">
      <c r="A104" t="s">
        <v>233</v>
      </c>
      <c r="B104">
        <v>41</v>
      </c>
      <c r="C104" t="s">
        <v>26</v>
      </c>
      <c r="D104" t="s">
        <v>33</v>
      </c>
      <c r="E104" t="s">
        <v>20</v>
      </c>
      <c r="F104" t="s">
        <v>44</v>
      </c>
      <c r="G104" t="s">
        <v>234</v>
      </c>
      <c r="H104">
        <v>7</v>
      </c>
      <c r="I104">
        <v>6558</v>
      </c>
      <c r="J104">
        <v>22</v>
      </c>
      <c r="K104" t="s">
        <v>24</v>
      </c>
      <c r="L104">
        <v>4</v>
      </c>
      <c r="M104">
        <v>2</v>
      </c>
      <c r="N104">
        <v>4</v>
      </c>
      <c r="O104">
        <v>4</v>
      </c>
      <c r="P104" t="s">
        <v>24</v>
      </c>
    </row>
    <row r="105" spans="1:16" x14ac:dyDescent="0.25">
      <c r="A105" t="s">
        <v>235</v>
      </c>
      <c r="B105">
        <v>32</v>
      </c>
      <c r="C105" t="s">
        <v>18</v>
      </c>
      <c r="D105" t="s">
        <v>27</v>
      </c>
      <c r="E105" t="s">
        <v>28</v>
      </c>
      <c r="F105" t="s">
        <v>59</v>
      </c>
      <c r="G105" t="s">
        <v>236</v>
      </c>
      <c r="H105">
        <v>3</v>
      </c>
      <c r="I105">
        <v>7299</v>
      </c>
      <c r="J105">
        <v>17</v>
      </c>
      <c r="K105" t="s">
        <v>24</v>
      </c>
      <c r="L105">
        <v>1</v>
      </c>
      <c r="M105">
        <v>3</v>
      </c>
      <c r="N105">
        <v>3</v>
      </c>
      <c r="O105">
        <v>0</v>
      </c>
      <c r="P105" t="s">
        <v>24</v>
      </c>
    </row>
    <row r="106" spans="1:16" x14ac:dyDescent="0.25">
      <c r="A106" t="s">
        <v>237</v>
      </c>
      <c r="B106">
        <v>33</v>
      </c>
      <c r="C106" t="s">
        <v>26</v>
      </c>
      <c r="D106" t="s">
        <v>19</v>
      </c>
      <c r="E106" t="s">
        <v>20</v>
      </c>
      <c r="F106" t="s">
        <v>21</v>
      </c>
      <c r="G106" t="s">
        <v>139</v>
      </c>
      <c r="H106">
        <v>0</v>
      </c>
      <c r="I106">
        <v>11627</v>
      </c>
      <c r="J106">
        <v>3</v>
      </c>
      <c r="K106" t="s">
        <v>24</v>
      </c>
      <c r="L106">
        <v>3</v>
      </c>
      <c r="M106">
        <v>3</v>
      </c>
      <c r="N106">
        <v>3</v>
      </c>
      <c r="O106">
        <v>4</v>
      </c>
      <c r="P106" t="s">
        <v>24</v>
      </c>
    </row>
    <row r="107" spans="1:16" x14ac:dyDescent="0.25">
      <c r="A107" t="s">
        <v>238</v>
      </c>
      <c r="B107">
        <v>20</v>
      </c>
      <c r="C107" t="s">
        <v>26</v>
      </c>
      <c r="D107" t="s">
        <v>19</v>
      </c>
      <c r="E107" t="s">
        <v>20</v>
      </c>
      <c r="F107" t="s">
        <v>44</v>
      </c>
      <c r="G107" t="s">
        <v>239</v>
      </c>
      <c r="H107">
        <v>1</v>
      </c>
      <c r="I107">
        <v>5352</v>
      </c>
      <c r="J107">
        <v>3</v>
      </c>
      <c r="K107" t="s">
        <v>24</v>
      </c>
      <c r="L107">
        <v>1</v>
      </c>
      <c r="M107">
        <v>2</v>
      </c>
      <c r="N107">
        <v>3</v>
      </c>
      <c r="O107">
        <v>4</v>
      </c>
      <c r="P107" t="s">
        <v>36</v>
      </c>
    </row>
    <row r="108" spans="1:16" x14ac:dyDescent="0.25">
      <c r="A108" t="s">
        <v>240</v>
      </c>
      <c r="B108">
        <v>32</v>
      </c>
      <c r="C108" t="s">
        <v>26</v>
      </c>
      <c r="D108" t="s">
        <v>33</v>
      </c>
      <c r="E108" t="s">
        <v>20</v>
      </c>
      <c r="F108" t="s">
        <v>21</v>
      </c>
      <c r="G108" t="s">
        <v>241</v>
      </c>
      <c r="H108">
        <v>4</v>
      </c>
      <c r="I108">
        <v>13480</v>
      </c>
      <c r="J108">
        <v>22</v>
      </c>
      <c r="K108" t="s">
        <v>24</v>
      </c>
      <c r="L108">
        <v>4</v>
      </c>
      <c r="M108">
        <v>3</v>
      </c>
      <c r="N108">
        <v>3</v>
      </c>
      <c r="O108">
        <v>2</v>
      </c>
      <c r="P108" t="s">
        <v>24</v>
      </c>
    </row>
    <row r="109" spans="1:16" x14ac:dyDescent="0.25">
      <c r="A109" t="s">
        <v>242</v>
      </c>
      <c r="B109">
        <v>33</v>
      </c>
      <c r="C109" t="s">
        <v>18</v>
      </c>
      <c r="D109" t="s">
        <v>19</v>
      </c>
      <c r="E109" t="s">
        <v>20</v>
      </c>
      <c r="F109" t="s">
        <v>44</v>
      </c>
      <c r="G109" t="s">
        <v>243</v>
      </c>
      <c r="H109">
        <v>3</v>
      </c>
      <c r="I109">
        <v>6317</v>
      </c>
      <c r="J109">
        <v>2</v>
      </c>
      <c r="K109" t="s">
        <v>24</v>
      </c>
      <c r="L109">
        <v>4</v>
      </c>
      <c r="M109">
        <v>3</v>
      </c>
      <c r="N109">
        <v>4</v>
      </c>
      <c r="O109">
        <v>1</v>
      </c>
      <c r="P109" t="s">
        <v>24</v>
      </c>
    </row>
    <row r="110" spans="1:16" x14ac:dyDescent="0.25">
      <c r="A110" t="s">
        <v>244</v>
      </c>
      <c r="B110">
        <v>43</v>
      </c>
      <c r="C110" t="s">
        <v>18</v>
      </c>
      <c r="D110" t="s">
        <v>27</v>
      </c>
      <c r="E110" t="s">
        <v>28</v>
      </c>
      <c r="F110" t="s">
        <v>64</v>
      </c>
      <c r="G110" t="s">
        <v>245</v>
      </c>
      <c r="H110">
        <v>11</v>
      </c>
      <c r="I110">
        <v>5720</v>
      </c>
      <c r="J110">
        <v>16</v>
      </c>
      <c r="K110" t="s">
        <v>24</v>
      </c>
      <c r="L110">
        <v>2</v>
      </c>
      <c r="M110">
        <v>1</v>
      </c>
      <c r="N110">
        <v>3</v>
      </c>
      <c r="O110">
        <v>3</v>
      </c>
      <c r="P110" t="s">
        <v>24</v>
      </c>
    </row>
    <row r="111" spans="1:16" x14ac:dyDescent="0.25">
      <c r="A111" t="s">
        <v>1138</v>
      </c>
      <c r="B111">
        <v>34</v>
      </c>
      <c r="C111" t="s">
        <v>18</v>
      </c>
      <c r="D111" t="s">
        <v>19</v>
      </c>
      <c r="E111" t="s">
        <v>28</v>
      </c>
      <c r="F111" t="s">
        <v>29</v>
      </c>
      <c r="G111" t="s">
        <v>1139</v>
      </c>
      <c r="H111">
        <v>0</v>
      </c>
      <c r="I111">
        <v>13083</v>
      </c>
      <c r="J111">
        <v>1</v>
      </c>
      <c r="K111" t="s">
        <v>24</v>
      </c>
      <c r="M111">
        <v>4</v>
      </c>
      <c r="N111">
        <v>3</v>
      </c>
      <c r="O111">
        <v>4</v>
      </c>
      <c r="P111" t="s">
        <v>24</v>
      </c>
    </row>
    <row r="112" spans="1:16" x14ac:dyDescent="0.25">
      <c r="A112" t="s">
        <v>246</v>
      </c>
      <c r="B112">
        <v>23</v>
      </c>
      <c r="C112" t="s">
        <v>18</v>
      </c>
      <c r="D112" t="s">
        <v>33</v>
      </c>
      <c r="E112" t="s">
        <v>110</v>
      </c>
      <c r="F112" t="s">
        <v>189</v>
      </c>
      <c r="G112" t="s">
        <v>247</v>
      </c>
      <c r="H112">
        <v>0</v>
      </c>
      <c r="I112">
        <v>3670</v>
      </c>
      <c r="J112">
        <v>1</v>
      </c>
      <c r="K112" t="s">
        <v>24</v>
      </c>
      <c r="L112">
        <v>2</v>
      </c>
      <c r="M112">
        <v>2</v>
      </c>
      <c r="N112">
        <v>4</v>
      </c>
      <c r="O112">
        <v>1</v>
      </c>
      <c r="P112" t="s">
        <v>24</v>
      </c>
    </row>
    <row r="113" spans="1:16" x14ac:dyDescent="0.25">
      <c r="A113" t="s">
        <v>248</v>
      </c>
      <c r="B113">
        <v>31</v>
      </c>
      <c r="C113" t="s">
        <v>26</v>
      </c>
      <c r="D113" t="s">
        <v>27</v>
      </c>
      <c r="E113" t="s">
        <v>110</v>
      </c>
      <c r="F113" t="s">
        <v>189</v>
      </c>
      <c r="G113" t="s">
        <v>249</v>
      </c>
      <c r="H113">
        <v>5</v>
      </c>
      <c r="I113">
        <v>4235</v>
      </c>
      <c r="J113">
        <v>6</v>
      </c>
      <c r="K113" t="s">
        <v>24</v>
      </c>
      <c r="L113">
        <v>3</v>
      </c>
      <c r="M113">
        <v>3</v>
      </c>
      <c r="N113">
        <v>4</v>
      </c>
      <c r="O113">
        <v>3</v>
      </c>
      <c r="P113" t="s">
        <v>24</v>
      </c>
    </row>
    <row r="114" spans="1:16" x14ac:dyDescent="0.25">
      <c r="A114" t="s">
        <v>250</v>
      </c>
      <c r="B114">
        <v>25</v>
      </c>
      <c r="C114" t="s">
        <v>26</v>
      </c>
      <c r="D114" t="s">
        <v>19</v>
      </c>
      <c r="E114" t="s">
        <v>28</v>
      </c>
      <c r="F114" t="s">
        <v>64</v>
      </c>
      <c r="G114" t="s">
        <v>251</v>
      </c>
      <c r="H114">
        <v>1</v>
      </c>
      <c r="I114">
        <v>5315</v>
      </c>
      <c r="J114">
        <v>19</v>
      </c>
      <c r="K114" t="s">
        <v>24</v>
      </c>
      <c r="L114">
        <v>3</v>
      </c>
      <c r="M114">
        <v>3</v>
      </c>
      <c r="N114">
        <v>4</v>
      </c>
      <c r="O114">
        <v>2</v>
      </c>
      <c r="P114" t="s">
        <v>24</v>
      </c>
    </row>
    <row r="115" spans="1:16" x14ac:dyDescent="0.25">
      <c r="A115" t="s">
        <v>252</v>
      </c>
      <c r="B115">
        <v>42</v>
      </c>
      <c r="C115" t="s">
        <v>26</v>
      </c>
      <c r="D115" t="s">
        <v>19</v>
      </c>
      <c r="E115" t="s">
        <v>1140</v>
      </c>
      <c r="F115" t="s">
        <v>59</v>
      </c>
      <c r="G115" t="s">
        <v>253</v>
      </c>
      <c r="H115">
        <v>3</v>
      </c>
      <c r="I115">
        <v>7828</v>
      </c>
      <c r="J115">
        <v>1</v>
      </c>
      <c r="K115" t="s">
        <v>24</v>
      </c>
      <c r="L115">
        <v>2</v>
      </c>
      <c r="M115">
        <v>3</v>
      </c>
      <c r="N115">
        <v>3</v>
      </c>
      <c r="O115">
        <v>0</v>
      </c>
      <c r="P115" t="s">
        <v>24</v>
      </c>
    </row>
    <row r="116" spans="1:16" x14ac:dyDescent="0.25">
      <c r="A116" t="s">
        <v>254</v>
      </c>
      <c r="B116">
        <v>43</v>
      </c>
      <c r="C116" t="s">
        <v>26</v>
      </c>
      <c r="D116" t="s">
        <v>19</v>
      </c>
      <c r="E116" t="s">
        <v>28</v>
      </c>
      <c r="F116" t="s">
        <v>64</v>
      </c>
      <c r="G116" t="s">
        <v>255</v>
      </c>
      <c r="H116">
        <v>2</v>
      </c>
      <c r="I116">
        <v>4339</v>
      </c>
      <c r="J116">
        <v>12</v>
      </c>
      <c r="K116" t="s">
        <v>24</v>
      </c>
      <c r="L116">
        <v>1</v>
      </c>
      <c r="M116">
        <v>3</v>
      </c>
      <c r="N116">
        <v>3</v>
      </c>
      <c r="O116">
        <v>3</v>
      </c>
      <c r="P116" t="s">
        <v>24</v>
      </c>
    </row>
    <row r="117" spans="1:16" x14ac:dyDescent="0.25">
      <c r="A117" t="s">
        <v>256</v>
      </c>
      <c r="B117">
        <v>27</v>
      </c>
      <c r="C117" t="s">
        <v>26</v>
      </c>
      <c r="D117" t="s">
        <v>19</v>
      </c>
      <c r="E117" t="s">
        <v>28</v>
      </c>
      <c r="F117" t="s">
        <v>34</v>
      </c>
      <c r="G117" t="s">
        <v>247</v>
      </c>
      <c r="H117">
        <v>0</v>
      </c>
      <c r="I117">
        <v>3014</v>
      </c>
      <c r="J117">
        <v>6</v>
      </c>
      <c r="K117" t="s">
        <v>36</v>
      </c>
      <c r="L117">
        <v>3</v>
      </c>
      <c r="M117">
        <v>2</v>
      </c>
      <c r="N117">
        <v>3</v>
      </c>
      <c r="O117">
        <v>4</v>
      </c>
      <c r="P117" t="s">
        <v>36</v>
      </c>
    </row>
    <row r="118" spans="1:16" x14ac:dyDescent="0.25">
      <c r="A118" t="s">
        <v>257</v>
      </c>
      <c r="B118">
        <v>31</v>
      </c>
      <c r="C118" t="s">
        <v>26</v>
      </c>
      <c r="D118" t="s">
        <v>19</v>
      </c>
      <c r="E118" t="s">
        <v>20</v>
      </c>
      <c r="F118" t="s">
        <v>21</v>
      </c>
      <c r="G118" t="s">
        <v>258</v>
      </c>
      <c r="H118">
        <v>3</v>
      </c>
      <c r="I118">
        <v>11934</v>
      </c>
      <c r="J118">
        <v>15</v>
      </c>
      <c r="K118" t="s">
        <v>24</v>
      </c>
      <c r="L118">
        <v>4</v>
      </c>
      <c r="M118">
        <v>2</v>
      </c>
      <c r="N118">
        <v>3</v>
      </c>
      <c r="O118">
        <v>2</v>
      </c>
      <c r="P118" t="s">
        <v>24</v>
      </c>
    </row>
    <row r="119" spans="1:16" x14ac:dyDescent="0.25">
      <c r="A119" t="s">
        <v>1141</v>
      </c>
      <c r="B119">
        <v>41</v>
      </c>
      <c r="C119" t="s">
        <v>18</v>
      </c>
      <c r="D119" t="s">
        <v>33</v>
      </c>
      <c r="E119" t="s">
        <v>28</v>
      </c>
      <c r="F119" t="s">
        <v>34</v>
      </c>
      <c r="G119" t="s">
        <v>1142</v>
      </c>
      <c r="H119">
        <v>2</v>
      </c>
      <c r="I119">
        <v>2527</v>
      </c>
      <c r="J119">
        <v>6</v>
      </c>
      <c r="K119" t="s">
        <v>24</v>
      </c>
      <c r="M119">
        <v>4</v>
      </c>
      <c r="N119">
        <v>3</v>
      </c>
      <c r="O119">
        <v>4</v>
      </c>
      <c r="P119" t="s">
        <v>36</v>
      </c>
    </row>
    <row r="120" spans="1:16" x14ac:dyDescent="0.25">
      <c r="A120" t="s">
        <v>1143</v>
      </c>
      <c r="B120">
        <v>42</v>
      </c>
      <c r="C120" t="s">
        <v>18</v>
      </c>
      <c r="D120" t="s">
        <v>19</v>
      </c>
      <c r="E120" t="s">
        <v>28</v>
      </c>
      <c r="F120" t="s">
        <v>64</v>
      </c>
      <c r="G120" t="s">
        <v>1144</v>
      </c>
      <c r="H120">
        <v>3</v>
      </c>
      <c r="J120">
        <v>1</v>
      </c>
      <c r="K120" t="s">
        <v>24</v>
      </c>
      <c r="L120">
        <v>1</v>
      </c>
      <c r="M120">
        <v>2</v>
      </c>
      <c r="N120">
        <v>3</v>
      </c>
      <c r="O120">
        <v>1</v>
      </c>
      <c r="P120" t="s">
        <v>24</v>
      </c>
    </row>
    <row r="121" spans="1:16" x14ac:dyDescent="0.25">
      <c r="A121" t="s">
        <v>259</v>
      </c>
      <c r="B121">
        <v>26</v>
      </c>
      <c r="C121" t="s">
        <v>26</v>
      </c>
      <c r="D121" t="s">
        <v>33</v>
      </c>
      <c r="E121" t="s">
        <v>110</v>
      </c>
      <c r="F121" t="s">
        <v>128</v>
      </c>
      <c r="G121" t="s">
        <v>260</v>
      </c>
      <c r="H121">
        <v>1</v>
      </c>
      <c r="I121">
        <v>11474</v>
      </c>
      <c r="J121">
        <v>13</v>
      </c>
      <c r="K121" t="s">
        <v>36</v>
      </c>
      <c r="L121">
        <v>4</v>
      </c>
      <c r="M121">
        <v>3</v>
      </c>
      <c r="N121">
        <v>3</v>
      </c>
      <c r="O121">
        <v>1</v>
      </c>
      <c r="P121" t="s">
        <v>24</v>
      </c>
    </row>
    <row r="122" spans="1:16" x14ac:dyDescent="0.25">
      <c r="A122" t="s">
        <v>261</v>
      </c>
      <c r="B122">
        <v>29</v>
      </c>
      <c r="C122" t="s">
        <v>26</v>
      </c>
      <c r="D122" t="s">
        <v>19</v>
      </c>
      <c r="E122" t="s">
        <v>20</v>
      </c>
      <c r="F122" t="s">
        <v>44</v>
      </c>
      <c r="G122" t="s">
        <v>262</v>
      </c>
      <c r="H122">
        <v>0</v>
      </c>
      <c r="I122">
        <v>5050</v>
      </c>
      <c r="J122">
        <v>13</v>
      </c>
      <c r="K122" t="s">
        <v>36</v>
      </c>
      <c r="L122">
        <v>4</v>
      </c>
      <c r="M122">
        <v>3</v>
      </c>
      <c r="N122">
        <v>3</v>
      </c>
      <c r="O122">
        <v>3</v>
      </c>
      <c r="P122" t="s">
        <v>24</v>
      </c>
    </row>
    <row r="123" spans="1:16" x14ac:dyDescent="0.25">
      <c r="A123" t="s">
        <v>1145</v>
      </c>
      <c r="B123">
        <v>38</v>
      </c>
      <c r="C123" t="s">
        <v>18</v>
      </c>
      <c r="D123" t="s">
        <v>33</v>
      </c>
      <c r="E123" t="s">
        <v>28</v>
      </c>
      <c r="F123" t="s">
        <v>29</v>
      </c>
      <c r="G123" t="s">
        <v>1146</v>
      </c>
      <c r="H123">
        <v>1</v>
      </c>
      <c r="J123">
        <v>1</v>
      </c>
      <c r="K123" t="s">
        <v>24</v>
      </c>
      <c r="L123">
        <v>4</v>
      </c>
      <c r="M123">
        <v>3</v>
      </c>
      <c r="N123">
        <v>3</v>
      </c>
      <c r="O123">
        <v>1</v>
      </c>
      <c r="P123" t="s">
        <v>24</v>
      </c>
    </row>
    <row r="124" spans="1:16" x14ac:dyDescent="0.25">
      <c r="A124" t="s">
        <v>263</v>
      </c>
      <c r="B124">
        <v>40</v>
      </c>
      <c r="C124" t="s">
        <v>18</v>
      </c>
      <c r="D124" t="s">
        <v>27</v>
      </c>
      <c r="E124" t="s">
        <v>20</v>
      </c>
      <c r="F124" t="s">
        <v>21</v>
      </c>
      <c r="G124" t="s">
        <v>264</v>
      </c>
      <c r="H124">
        <v>0</v>
      </c>
      <c r="I124">
        <v>11551</v>
      </c>
      <c r="J124">
        <v>1</v>
      </c>
      <c r="K124" t="s">
        <v>36</v>
      </c>
      <c r="L124">
        <v>4</v>
      </c>
      <c r="M124">
        <v>2</v>
      </c>
      <c r="N124">
        <v>3</v>
      </c>
      <c r="O124">
        <v>0</v>
      </c>
      <c r="P124" t="s">
        <v>36</v>
      </c>
    </row>
    <row r="125" spans="1:16" x14ac:dyDescent="0.25">
      <c r="A125" t="s">
        <v>265</v>
      </c>
      <c r="B125">
        <v>26</v>
      </c>
      <c r="C125" t="s">
        <v>18</v>
      </c>
      <c r="D125" t="s">
        <v>27</v>
      </c>
      <c r="E125" t="s">
        <v>110</v>
      </c>
      <c r="F125" t="s">
        <v>111</v>
      </c>
      <c r="G125" t="s">
        <v>266</v>
      </c>
      <c r="H125">
        <v>6</v>
      </c>
      <c r="I125">
        <v>5243</v>
      </c>
      <c r="J125">
        <v>4</v>
      </c>
      <c r="K125" t="s">
        <v>24</v>
      </c>
      <c r="L125">
        <v>3</v>
      </c>
      <c r="M125">
        <v>3</v>
      </c>
      <c r="N125">
        <v>3</v>
      </c>
      <c r="O125">
        <v>3</v>
      </c>
      <c r="P125" t="s">
        <v>24</v>
      </c>
    </row>
    <row r="126" spans="1:16" x14ac:dyDescent="0.25">
      <c r="A126" t="s">
        <v>267</v>
      </c>
      <c r="B126">
        <v>46</v>
      </c>
      <c r="C126" t="s">
        <v>18</v>
      </c>
      <c r="D126" t="s">
        <v>27</v>
      </c>
      <c r="E126" t="s">
        <v>20</v>
      </c>
      <c r="F126" t="s">
        <v>44</v>
      </c>
      <c r="G126" t="s">
        <v>268</v>
      </c>
      <c r="H126">
        <v>0</v>
      </c>
      <c r="I126">
        <v>5937</v>
      </c>
      <c r="J126">
        <v>1</v>
      </c>
      <c r="K126" t="s">
        <v>24</v>
      </c>
      <c r="L126">
        <v>4</v>
      </c>
      <c r="M126">
        <v>2</v>
      </c>
      <c r="N126">
        <v>3</v>
      </c>
      <c r="O126">
        <v>5</v>
      </c>
      <c r="P126" t="s">
        <v>24</v>
      </c>
    </row>
    <row r="127" spans="1:16" x14ac:dyDescent="0.25">
      <c r="A127" t="s">
        <v>269</v>
      </c>
      <c r="B127">
        <v>32</v>
      </c>
      <c r="C127" t="s">
        <v>26</v>
      </c>
      <c r="D127" t="s">
        <v>33</v>
      </c>
      <c r="E127" t="s">
        <v>28</v>
      </c>
      <c r="F127" t="s">
        <v>29</v>
      </c>
      <c r="G127" t="s">
        <v>270</v>
      </c>
      <c r="H127">
        <v>3</v>
      </c>
      <c r="I127">
        <v>12064</v>
      </c>
      <c r="J127">
        <v>1</v>
      </c>
      <c r="K127" t="s">
        <v>24</v>
      </c>
      <c r="L127">
        <v>3</v>
      </c>
      <c r="M127">
        <v>2</v>
      </c>
      <c r="N127">
        <v>3</v>
      </c>
      <c r="O127">
        <v>3</v>
      </c>
      <c r="P127" t="s">
        <v>24</v>
      </c>
    </row>
    <row r="128" spans="1:16" x14ac:dyDescent="0.25">
      <c r="A128" t="s">
        <v>1147</v>
      </c>
      <c r="B128">
        <v>33</v>
      </c>
      <c r="C128" t="s">
        <v>26</v>
      </c>
      <c r="D128" t="s">
        <v>27</v>
      </c>
      <c r="E128" t="s">
        <v>20</v>
      </c>
      <c r="F128" t="s">
        <v>21</v>
      </c>
      <c r="G128" t="s">
        <v>1148</v>
      </c>
      <c r="H128">
        <v>3</v>
      </c>
      <c r="J128">
        <v>4</v>
      </c>
      <c r="K128" t="s">
        <v>24</v>
      </c>
      <c r="L128">
        <v>3</v>
      </c>
      <c r="M128">
        <v>2</v>
      </c>
      <c r="N128">
        <v>3</v>
      </c>
      <c r="O128">
        <v>3</v>
      </c>
      <c r="P128" t="s">
        <v>24</v>
      </c>
    </row>
    <row r="129" spans="1:16" x14ac:dyDescent="0.25">
      <c r="A129" t="s">
        <v>271</v>
      </c>
      <c r="B129">
        <v>48</v>
      </c>
      <c r="C129" t="s">
        <v>26</v>
      </c>
      <c r="D129" t="s">
        <v>33</v>
      </c>
      <c r="E129" t="s">
        <v>20</v>
      </c>
      <c r="F129" t="s">
        <v>40</v>
      </c>
      <c r="G129" t="s">
        <v>272</v>
      </c>
      <c r="H129">
        <v>3</v>
      </c>
      <c r="I129">
        <v>3669</v>
      </c>
      <c r="J129">
        <v>1</v>
      </c>
      <c r="K129" t="s">
        <v>24</v>
      </c>
      <c r="L129">
        <v>2</v>
      </c>
      <c r="M129">
        <v>2</v>
      </c>
      <c r="N129">
        <v>3</v>
      </c>
      <c r="O129">
        <v>0</v>
      </c>
      <c r="P129" t="s">
        <v>36</v>
      </c>
    </row>
    <row r="130" spans="1:16" x14ac:dyDescent="0.25">
      <c r="A130" t="s">
        <v>273</v>
      </c>
      <c r="B130">
        <v>54</v>
      </c>
      <c r="C130" t="s">
        <v>18</v>
      </c>
      <c r="D130" t="s">
        <v>19</v>
      </c>
      <c r="E130" t="s">
        <v>28</v>
      </c>
      <c r="F130" t="s">
        <v>34</v>
      </c>
      <c r="G130" t="s">
        <v>274</v>
      </c>
      <c r="H130">
        <v>0</v>
      </c>
      <c r="I130">
        <v>3465</v>
      </c>
      <c r="J130">
        <v>1</v>
      </c>
      <c r="K130" t="s">
        <v>24</v>
      </c>
      <c r="L130">
        <v>2</v>
      </c>
      <c r="M130">
        <v>4</v>
      </c>
      <c r="N130">
        <v>3</v>
      </c>
      <c r="O130">
        <v>0</v>
      </c>
      <c r="P130" t="s">
        <v>36</v>
      </c>
    </row>
    <row r="131" spans="1:16" x14ac:dyDescent="0.25">
      <c r="A131" t="s">
        <v>113</v>
      </c>
      <c r="B131">
        <v>36</v>
      </c>
      <c r="C131" t="s">
        <v>26</v>
      </c>
      <c r="D131" t="s">
        <v>33</v>
      </c>
      <c r="E131" t="s">
        <v>28</v>
      </c>
      <c r="F131" t="s">
        <v>59</v>
      </c>
      <c r="G131" t="s">
        <v>114</v>
      </c>
      <c r="H131">
        <v>3</v>
      </c>
      <c r="I131">
        <v>5782</v>
      </c>
      <c r="J131">
        <v>5</v>
      </c>
      <c r="K131" t="s">
        <v>24</v>
      </c>
      <c r="L131">
        <v>4</v>
      </c>
      <c r="M131">
        <v>2</v>
      </c>
      <c r="N131">
        <v>3</v>
      </c>
      <c r="O131">
        <v>3</v>
      </c>
      <c r="P131" t="s">
        <v>36</v>
      </c>
    </row>
    <row r="132" spans="1:16" x14ac:dyDescent="0.25">
      <c r="A132" t="s">
        <v>275</v>
      </c>
      <c r="B132">
        <v>34</v>
      </c>
      <c r="C132" t="s">
        <v>18</v>
      </c>
      <c r="D132" t="s">
        <v>33</v>
      </c>
      <c r="E132" t="s">
        <v>28</v>
      </c>
      <c r="F132" t="s">
        <v>64</v>
      </c>
      <c r="G132" t="s">
        <v>276</v>
      </c>
      <c r="H132">
        <v>16</v>
      </c>
      <c r="I132">
        <v>6445</v>
      </c>
      <c r="J132">
        <v>4</v>
      </c>
      <c r="K132" t="s">
        <v>24</v>
      </c>
      <c r="L132">
        <v>3</v>
      </c>
      <c r="M132">
        <v>2</v>
      </c>
      <c r="N132">
        <v>3</v>
      </c>
      <c r="O132">
        <v>5</v>
      </c>
      <c r="P132" t="s">
        <v>24</v>
      </c>
    </row>
    <row r="133" spans="1:16" x14ac:dyDescent="0.25">
      <c r="A133" t="s">
        <v>277</v>
      </c>
      <c r="B133">
        <v>23</v>
      </c>
      <c r="C133" t="s">
        <v>26</v>
      </c>
      <c r="D133" t="s">
        <v>19</v>
      </c>
      <c r="E133" t="s">
        <v>28</v>
      </c>
      <c r="F133" t="s">
        <v>64</v>
      </c>
      <c r="G133" t="s">
        <v>278</v>
      </c>
      <c r="H133">
        <v>1</v>
      </c>
      <c r="I133">
        <v>4669</v>
      </c>
      <c r="J133">
        <v>1</v>
      </c>
      <c r="K133" t="s">
        <v>24</v>
      </c>
      <c r="L133">
        <v>2</v>
      </c>
      <c r="M133">
        <v>3</v>
      </c>
      <c r="N133">
        <v>3</v>
      </c>
      <c r="O133">
        <v>4</v>
      </c>
      <c r="P133" t="s">
        <v>24</v>
      </c>
    </row>
    <row r="134" spans="1:16" x14ac:dyDescent="0.25">
      <c r="A134" t="s">
        <v>279</v>
      </c>
      <c r="B134">
        <v>40</v>
      </c>
      <c r="C134" t="s">
        <v>26</v>
      </c>
      <c r="D134" t="s">
        <v>19</v>
      </c>
      <c r="E134" t="s">
        <v>28</v>
      </c>
      <c r="F134" t="s">
        <v>34</v>
      </c>
      <c r="G134" t="s">
        <v>280</v>
      </c>
      <c r="H134">
        <v>21</v>
      </c>
      <c r="I134">
        <v>3985</v>
      </c>
      <c r="J134">
        <v>5</v>
      </c>
      <c r="K134" t="s">
        <v>24</v>
      </c>
      <c r="L134">
        <v>1</v>
      </c>
      <c r="M134">
        <v>3</v>
      </c>
      <c r="N134">
        <v>3</v>
      </c>
      <c r="O134">
        <v>2</v>
      </c>
      <c r="P134" t="s">
        <v>24</v>
      </c>
    </row>
    <row r="135" spans="1:16" x14ac:dyDescent="0.25">
      <c r="A135" t="s">
        <v>281</v>
      </c>
      <c r="B135">
        <v>45</v>
      </c>
      <c r="C135" t="s">
        <v>18</v>
      </c>
      <c r="D135" t="s">
        <v>27</v>
      </c>
      <c r="E135" t="s">
        <v>28</v>
      </c>
      <c r="F135" t="s">
        <v>59</v>
      </c>
      <c r="G135" t="s">
        <v>282</v>
      </c>
      <c r="H135">
        <v>0</v>
      </c>
      <c r="I135">
        <v>5692</v>
      </c>
      <c r="J135">
        <v>6</v>
      </c>
      <c r="K135" t="s">
        <v>24</v>
      </c>
      <c r="L135">
        <v>4</v>
      </c>
      <c r="M135">
        <v>2</v>
      </c>
      <c r="N135">
        <v>3</v>
      </c>
      <c r="O135">
        <v>3</v>
      </c>
      <c r="P135" t="s">
        <v>24</v>
      </c>
    </row>
    <row r="136" spans="1:16" x14ac:dyDescent="0.25">
      <c r="A136" t="s">
        <v>283</v>
      </c>
      <c r="B136">
        <v>42</v>
      </c>
      <c r="C136" t="s">
        <v>26</v>
      </c>
      <c r="D136" t="s">
        <v>33</v>
      </c>
      <c r="E136" t="s">
        <v>20</v>
      </c>
      <c r="F136" t="s">
        <v>44</v>
      </c>
      <c r="G136" t="s">
        <v>284</v>
      </c>
      <c r="H136">
        <v>24</v>
      </c>
      <c r="I136">
        <v>8652</v>
      </c>
      <c r="J136">
        <v>2</v>
      </c>
      <c r="K136" t="s">
        <v>24</v>
      </c>
      <c r="L136">
        <v>1</v>
      </c>
      <c r="M136">
        <v>4</v>
      </c>
      <c r="N136">
        <v>4</v>
      </c>
      <c r="O136">
        <v>0</v>
      </c>
      <c r="P136" t="s">
        <v>24</v>
      </c>
    </row>
    <row r="137" spans="1:16" x14ac:dyDescent="0.25">
      <c r="A137" t="s">
        <v>285</v>
      </c>
      <c r="B137">
        <v>30</v>
      </c>
      <c r="C137" t="s">
        <v>26</v>
      </c>
      <c r="D137" t="s">
        <v>33</v>
      </c>
      <c r="E137" t="s">
        <v>28</v>
      </c>
      <c r="F137" t="s">
        <v>34</v>
      </c>
      <c r="G137" t="s">
        <v>286</v>
      </c>
      <c r="H137">
        <v>3</v>
      </c>
      <c r="I137">
        <v>3881</v>
      </c>
      <c r="J137">
        <v>10</v>
      </c>
      <c r="K137" t="s">
        <v>24</v>
      </c>
      <c r="L137">
        <v>2</v>
      </c>
      <c r="M137">
        <v>2</v>
      </c>
      <c r="N137">
        <v>3</v>
      </c>
      <c r="O137">
        <v>1</v>
      </c>
      <c r="P137" t="s">
        <v>24</v>
      </c>
    </row>
    <row r="138" spans="1:16" x14ac:dyDescent="0.25">
      <c r="A138" t="s">
        <v>287</v>
      </c>
      <c r="B138">
        <v>47</v>
      </c>
      <c r="C138" t="s">
        <v>18</v>
      </c>
      <c r="D138" t="s">
        <v>27</v>
      </c>
      <c r="E138" t="s">
        <v>28</v>
      </c>
      <c r="F138" t="s">
        <v>34</v>
      </c>
      <c r="G138" t="s">
        <v>288</v>
      </c>
      <c r="H138">
        <v>3</v>
      </c>
      <c r="I138">
        <v>3202</v>
      </c>
      <c r="J138">
        <v>13</v>
      </c>
      <c r="K138" t="s">
        <v>24</v>
      </c>
      <c r="L138">
        <v>3</v>
      </c>
      <c r="M138">
        <v>3</v>
      </c>
      <c r="N138">
        <v>4</v>
      </c>
      <c r="O138">
        <v>5</v>
      </c>
      <c r="P138" t="s">
        <v>24</v>
      </c>
    </row>
    <row r="139" spans="1:16" x14ac:dyDescent="0.25">
      <c r="A139" t="s">
        <v>289</v>
      </c>
      <c r="B139">
        <v>42</v>
      </c>
      <c r="C139" t="s">
        <v>26</v>
      </c>
      <c r="D139" t="s">
        <v>27</v>
      </c>
      <c r="E139" t="s">
        <v>28</v>
      </c>
      <c r="F139" t="s">
        <v>64</v>
      </c>
      <c r="G139" t="s">
        <v>290</v>
      </c>
      <c r="H139">
        <v>0</v>
      </c>
      <c r="I139">
        <v>4285</v>
      </c>
      <c r="J139">
        <v>8</v>
      </c>
      <c r="K139" t="s">
        <v>36</v>
      </c>
      <c r="L139">
        <v>4</v>
      </c>
      <c r="M139">
        <v>1</v>
      </c>
      <c r="N139">
        <v>4</v>
      </c>
      <c r="O139">
        <v>4</v>
      </c>
      <c r="P139" t="s">
        <v>24</v>
      </c>
    </row>
    <row r="140" spans="1:16" x14ac:dyDescent="0.25">
      <c r="A140" t="s">
        <v>291</v>
      </c>
      <c r="B140">
        <v>32</v>
      </c>
      <c r="C140" t="s">
        <v>26</v>
      </c>
      <c r="D140" t="s">
        <v>33</v>
      </c>
      <c r="E140" t="s">
        <v>28</v>
      </c>
      <c r="F140" t="s">
        <v>34</v>
      </c>
      <c r="G140" t="s">
        <v>292</v>
      </c>
      <c r="H140">
        <v>0</v>
      </c>
      <c r="I140">
        <v>3034</v>
      </c>
      <c r="J140">
        <v>5</v>
      </c>
      <c r="K140" t="s">
        <v>36</v>
      </c>
      <c r="L140">
        <v>4</v>
      </c>
      <c r="M140">
        <v>4</v>
      </c>
      <c r="N140">
        <v>3</v>
      </c>
      <c r="O140">
        <v>4</v>
      </c>
      <c r="P140" t="s">
        <v>24</v>
      </c>
    </row>
    <row r="141" spans="1:16" x14ac:dyDescent="0.25">
      <c r="A141" t="s">
        <v>293</v>
      </c>
      <c r="B141">
        <v>34</v>
      </c>
      <c r="C141" t="s">
        <v>18</v>
      </c>
      <c r="D141" t="s">
        <v>19</v>
      </c>
      <c r="E141" t="s">
        <v>1130</v>
      </c>
      <c r="F141" t="s">
        <v>64</v>
      </c>
      <c r="G141" t="s">
        <v>294</v>
      </c>
      <c r="H141">
        <v>10</v>
      </c>
      <c r="I141">
        <v>5228</v>
      </c>
      <c r="J141">
        <v>3</v>
      </c>
      <c r="K141" t="s">
        <v>24</v>
      </c>
      <c r="L141">
        <v>3</v>
      </c>
      <c r="M141">
        <v>2</v>
      </c>
      <c r="N141">
        <v>4</v>
      </c>
      <c r="O141">
        <v>2</v>
      </c>
      <c r="P141" t="s">
        <v>24</v>
      </c>
    </row>
    <row r="142" spans="1:16" x14ac:dyDescent="0.25">
      <c r="A142" t="s">
        <v>295</v>
      </c>
      <c r="B142">
        <v>41</v>
      </c>
      <c r="C142" t="s">
        <v>18</v>
      </c>
      <c r="D142" t="s">
        <v>19</v>
      </c>
      <c r="E142" t="s">
        <v>28</v>
      </c>
      <c r="F142" t="s">
        <v>29</v>
      </c>
      <c r="G142" t="s">
        <v>296</v>
      </c>
      <c r="H142">
        <v>1</v>
      </c>
      <c r="I142">
        <v>11296</v>
      </c>
      <c r="J142">
        <v>1</v>
      </c>
      <c r="K142" t="s">
        <v>36</v>
      </c>
      <c r="L142">
        <v>4</v>
      </c>
      <c r="M142">
        <v>3</v>
      </c>
      <c r="N142">
        <v>4</v>
      </c>
      <c r="O142">
        <v>0</v>
      </c>
      <c r="P142" t="s">
        <v>24</v>
      </c>
    </row>
    <row r="143" spans="1:16" x14ac:dyDescent="0.25">
      <c r="A143" t="s">
        <v>297</v>
      </c>
      <c r="B143">
        <v>57</v>
      </c>
      <c r="C143" t="s">
        <v>26</v>
      </c>
      <c r="D143" t="s">
        <v>19</v>
      </c>
      <c r="E143" t="s">
        <v>20</v>
      </c>
      <c r="F143" t="s">
        <v>21</v>
      </c>
      <c r="G143" t="s">
        <v>298</v>
      </c>
      <c r="H143">
        <v>1</v>
      </c>
      <c r="I143">
        <v>7701</v>
      </c>
      <c r="J143">
        <v>8</v>
      </c>
      <c r="K143" t="s">
        <v>24</v>
      </c>
      <c r="L143">
        <v>4</v>
      </c>
      <c r="M143">
        <v>2</v>
      </c>
      <c r="N143">
        <v>3</v>
      </c>
      <c r="O143">
        <v>3</v>
      </c>
      <c r="P143" t="s">
        <v>36</v>
      </c>
    </row>
    <row r="144" spans="1:16" x14ac:dyDescent="0.25">
      <c r="A144" t="s">
        <v>299</v>
      </c>
      <c r="B144">
        <v>49</v>
      </c>
      <c r="C144" t="s">
        <v>26</v>
      </c>
      <c r="D144" t="s">
        <v>33</v>
      </c>
      <c r="E144" t="s">
        <v>1133</v>
      </c>
      <c r="F144" t="s">
        <v>40</v>
      </c>
      <c r="G144" t="s">
        <v>300</v>
      </c>
      <c r="H144">
        <v>0</v>
      </c>
      <c r="I144">
        <v>3362</v>
      </c>
      <c r="J144">
        <v>9</v>
      </c>
      <c r="K144" t="s">
        <v>24</v>
      </c>
      <c r="L144">
        <v>3</v>
      </c>
      <c r="M144">
        <v>3</v>
      </c>
      <c r="N144">
        <v>3</v>
      </c>
      <c r="O144">
        <v>3</v>
      </c>
      <c r="P144" t="s">
        <v>24</v>
      </c>
    </row>
    <row r="145" spans="1:16" x14ac:dyDescent="0.25">
      <c r="A145" t="s">
        <v>301</v>
      </c>
      <c r="B145">
        <v>23</v>
      </c>
      <c r="C145" t="s">
        <v>18</v>
      </c>
      <c r="D145" t="s">
        <v>19</v>
      </c>
      <c r="E145" t="s">
        <v>20</v>
      </c>
      <c r="F145" t="s">
        <v>21</v>
      </c>
      <c r="G145" t="s">
        <v>302</v>
      </c>
      <c r="H145">
        <v>0</v>
      </c>
      <c r="I145">
        <v>13392</v>
      </c>
      <c r="J145">
        <v>1</v>
      </c>
      <c r="K145" t="s">
        <v>24</v>
      </c>
      <c r="L145">
        <v>1</v>
      </c>
      <c r="M145">
        <v>4</v>
      </c>
      <c r="N145">
        <v>4</v>
      </c>
      <c r="O145">
        <v>3</v>
      </c>
      <c r="P145" t="s">
        <v>36</v>
      </c>
    </row>
    <row r="146" spans="1:16" x14ac:dyDescent="0.25">
      <c r="A146" t="s">
        <v>303</v>
      </c>
      <c r="B146">
        <v>34</v>
      </c>
      <c r="C146" t="s">
        <v>18</v>
      </c>
      <c r="D146" t="s">
        <v>33</v>
      </c>
      <c r="E146" t="s">
        <v>20</v>
      </c>
      <c r="F146" t="s">
        <v>44</v>
      </c>
      <c r="G146" t="s">
        <v>304</v>
      </c>
      <c r="H146">
        <v>6</v>
      </c>
      <c r="I146">
        <v>6202</v>
      </c>
      <c r="J146">
        <v>18</v>
      </c>
      <c r="K146" t="s">
        <v>36</v>
      </c>
      <c r="L146">
        <v>2</v>
      </c>
      <c r="M146">
        <v>4</v>
      </c>
      <c r="N146">
        <v>3</v>
      </c>
      <c r="O146">
        <v>4</v>
      </c>
      <c r="P146" t="s">
        <v>36</v>
      </c>
    </row>
    <row r="147" spans="1:16" x14ac:dyDescent="0.25">
      <c r="A147" t="s">
        <v>305</v>
      </c>
      <c r="B147">
        <v>35</v>
      </c>
      <c r="C147" t="s">
        <v>18</v>
      </c>
      <c r="D147" t="s">
        <v>33</v>
      </c>
      <c r="E147" t="s">
        <v>28</v>
      </c>
      <c r="F147" t="s">
        <v>59</v>
      </c>
      <c r="G147" t="s">
        <v>306</v>
      </c>
      <c r="H147">
        <v>8</v>
      </c>
      <c r="I147">
        <v>5588</v>
      </c>
      <c r="J147">
        <v>5</v>
      </c>
      <c r="K147" t="s">
        <v>24</v>
      </c>
      <c r="L147">
        <v>3</v>
      </c>
      <c r="M147">
        <v>2</v>
      </c>
      <c r="N147">
        <v>4</v>
      </c>
      <c r="O147">
        <v>4</v>
      </c>
      <c r="P147" t="s">
        <v>36</v>
      </c>
    </row>
    <row r="148" spans="1:16" x14ac:dyDescent="0.25">
      <c r="A148" t="s">
        <v>307</v>
      </c>
      <c r="B148">
        <v>39</v>
      </c>
      <c r="C148" t="s">
        <v>18</v>
      </c>
      <c r="D148" t="s">
        <v>27</v>
      </c>
      <c r="E148" t="s">
        <v>28</v>
      </c>
      <c r="F148" t="s">
        <v>64</v>
      </c>
      <c r="G148" t="s">
        <v>308</v>
      </c>
      <c r="H148">
        <v>2</v>
      </c>
      <c r="I148">
        <v>5091</v>
      </c>
      <c r="J148">
        <v>2</v>
      </c>
      <c r="K148" t="s">
        <v>24</v>
      </c>
      <c r="L148">
        <v>1</v>
      </c>
      <c r="M148">
        <v>2</v>
      </c>
      <c r="N148">
        <v>3</v>
      </c>
      <c r="O148">
        <v>3</v>
      </c>
      <c r="P148" t="s">
        <v>36</v>
      </c>
    </row>
    <row r="149" spans="1:16" x14ac:dyDescent="0.25">
      <c r="A149" t="s">
        <v>309</v>
      </c>
      <c r="B149">
        <v>37</v>
      </c>
      <c r="C149" t="s">
        <v>26</v>
      </c>
      <c r="D149" t="s">
        <v>19</v>
      </c>
      <c r="E149" t="s">
        <v>28</v>
      </c>
      <c r="F149" t="s">
        <v>59</v>
      </c>
      <c r="G149" t="s">
        <v>310</v>
      </c>
      <c r="H149">
        <v>2</v>
      </c>
      <c r="I149">
        <v>7785</v>
      </c>
      <c r="J149">
        <v>5</v>
      </c>
      <c r="K149" t="s">
        <v>24</v>
      </c>
      <c r="L149">
        <v>4</v>
      </c>
      <c r="M149">
        <v>4</v>
      </c>
      <c r="N149">
        <v>3</v>
      </c>
      <c r="O149">
        <v>2</v>
      </c>
      <c r="P149" t="s">
        <v>24</v>
      </c>
    </row>
    <row r="150" spans="1:16" x14ac:dyDescent="0.25">
      <c r="A150" t="s">
        <v>311</v>
      </c>
      <c r="B150">
        <v>34</v>
      </c>
      <c r="C150" t="s">
        <v>26</v>
      </c>
      <c r="D150" t="s">
        <v>19</v>
      </c>
      <c r="E150" t="s">
        <v>28</v>
      </c>
      <c r="F150" t="s">
        <v>64</v>
      </c>
      <c r="G150" t="s">
        <v>312</v>
      </c>
      <c r="H150">
        <v>6</v>
      </c>
      <c r="I150">
        <v>5361</v>
      </c>
      <c r="J150">
        <v>3</v>
      </c>
      <c r="K150" t="s">
        <v>24</v>
      </c>
      <c r="L150">
        <v>3</v>
      </c>
      <c r="M150">
        <v>3</v>
      </c>
      <c r="N150">
        <v>3</v>
      </c>
      <c r="O150">
        <v>4</v>
      </c>
      <c r="P150" t="s">
        <v>24</v>
      </c>
    </row>
    <row r="151" spans="1:16" x14ac:dyDescent="0.25">
      <c r="A151" t="s">
        <v>313</v>
      </c>
      <c r="B151">
        <v>28</v>
      </c>
      <c r="C151" t="s">
        <v>26</v>
      </c>
      <c r="D151" t="s">
        <v>19</v>
      </c>
      <c r="E151" t="s">
        <v>20</v>
      </c>
      <c r="F151" t="s">
        <v>21</v>
      </c>
      <c r="G151" t="s">
        <v>314</v>
      </c>
      <c r="H151">
        <v>1</v>
      </c>
      <c r="I151">
        <v>12712</v>
      </c>
      <c r="J151">
        <v>1</v>
      </c>
      <c r="K151" t="s">
        <v>36</v>
      </c>
      <c r="L151">
        <v>3</v>
      </c>
      <c r="M151">
        <v>3</v>
      </c>
      <c r="N151">
        <v>3</v>
      </c>
      <c r="O151">
        <v>2</v>
      </c>
      <c r="P151" t="s">
        <v>36</v>
      </c>
    </row>
    <row r="152" spans="1:16" x14ac:dyDescent="0.25">
      <c r="A152" t="s">
        <v>315</v>
      </c>
      <c r="B152">
        <v>36</v>
      </c>
      <c r="C152" t="s">
        <v>26</v>
      </c>
      <c r="D152" t="s">
        <v>27</v>
      </c>
      <c r="E152" t="s">
        <v>28</v>
      </c>
      <c r="F152" t="s">
        <v>64</v>
      </c>
      <c r="G152" t="s">
        <v>316</v>
      </c>
      <c r="H152">
        <v>0</v>
      </c>
      <c r="I152">
        <v>6353</v>
      </c>
      <c r="J152">
        <v>8</v>
      </c>
      <c r="K152" t="s">
        <v>24</v>
      </c>
      <c r="L152">
        <v>4</v>
      </c>
      <c r="M152">
        <v>2</v>
      </c>
      <c r="N152">
        <v>3</v>
      </c>
      <c r="O152">
        <v>0</v>
      </c>
      <c r="P152" t="s">
        <v>36</v>
      </c>
    </row>
    <row r="153" spans="1:16" x14ac:dyDescent="0.25">
      <c r="A153" t="s">
        <v>317</v>
      </c>
      <c r="B153">
        <v>28</v>
      </c>
      <c r="C153" t="s">
        <v>18</v>
      </c>
      <c r="D153" t="s">
        <v>19</v>
      </c>
      <c r="E153" t="s">
        <v>20</v>
      </c>
      <c r="F153" t="s">
        <v>44</v>
      </c>
      <c r="G153" t="s">
        <v>318</v>
      </c>
      <c r="H153">
        <v>7</v>
      </c>
      <c r="I153">
        <v>7697</v>
      </c>
      <c r="J153">
        <v>13</v>
      </c>
      <c r="K153" t="s">
        <v>36</v>
      </c>
      <c r="L153">
        <v>4</v>
      </c>
      <c r="M153">
        <v>2</v>
      </c>
      <c r="N153">
        <v>3</v>
      </c>
      <c r="O153">
        <v>3</v>
      </c>
      <c r="P153" t="s">
        <v>36</v>
      </c>
    </row>
    <row r="154" spans="1:16" x14ac:dyDescent="0.25">
      <c r="A154" t="s">
        <v>319</v>
      </c>
      <c r="B154">
        <v>41</v>
      </c>
      <c r="C154" t="s">
        <v>18</v>
      </c>
      <c r="D154" t="s">
        <v>19</v>
      </c>
      <c r="E154" t="s">
        <v>110</v>
      </c>
      <c r="F154" t="s">
        <v>189</v>
      </c>
      <c r="G154" t="s">
        <v>320</v>
      </c>
      <c r="H154">
        <v>1</v>
      </c>
      <c r="I154">
        <v>4269</v>
      </c>
      <c r="J154">
        <v>1</v>
      </c>
      <c r="K154" t="s">
        <v>24</v>
      </c>
      <c r="L154">
        <v>4</v>
      </c>
      <c r="M154">
        <v>1</v>
      </c>
      <c r="N154">
        <v>3</v>
      </c>
      <c r="O154">
        <v>4</v>
      </c>
      <c r="P154" t="s">
        <v>36</v>
      </c>
    </row>
    <row r="155" spans="1:16" x14ac:dyDescent="0.25">
      <c r="A155" t="s">
        <v>321</v>
      </c>
      <c r="B155">
        <v>42</v>
      </c>
      <c r="C155" t="s">
        <v>18</v>
      </c>
      <c r="D155" t="s">
        <v>33</v>
      </c>
      <c r="E155" t="s">
        <v>20</v>
      </c>
      <c r="F155" t="s">
        <v>21</v>
      </c>
      <c r="G155" t="s">
        <v>322</v>
      </c>
      <c r="H155">
        <v>4</v>
      </c>
      <c r="I155">
        <v>13411</v>
      </c>
      <c r="J155">
        <v>9</v>
      </c>
      <c r="K155" t="s">
        <v>36</v>
      </c>
      <c r="L155">
        <v>2</v>
      </c>
      <c r="M155">
        <v>2</v>
      </c>
      <c r="N155">
        <v>3</v>
      </c>
      <c r="O155">
        <v>5</v>
      </c>
      <c r="P155" t="s">
        <v>24</v>
      </c>
    </row>
    <row r="156" spans="1:16" x14ac:dyDescent="0.25">
      <c r="A156" t="s">
        <v>323</v>
      </c>
      <c r="B156">
        <v>37</v>
      </c>
      <c r="C156" t="s">
        <v>18</v>
      </c>
      <c r="D156" t="s">
        <v>33</v>
      </c>
      <c r="E156" t="s">
        <v>28</v>
      </c>
      <c r="F156" t="s">
        <v>34</v>
      </c>
      <c r="G156" t="s">
        <v>324</v>
      </c>
      <c r="H156">
        <v>6</v>
      </c>
      <c r="I156">
        <v>3944</v>
      </c>
      <c r="J156">
        <v>15</v>
      </c>
      <c r="K156" t="s">
        <v>24</v>
      </c>
      <c r="L156">
        <v>2</v>
      </c>
      <c r="M156">
        <v>3</v>
      </c>
      <c r="N156">
        <v>4</v>
      </c>
      <c r="O156">
        <v>2</v>
      </c>
      <c r="P156" t="s">
        <v>24</v>
      </c>
    </row>
    <row r="157" spans="1:16" x14ac:dyDescent="0.25">
      <c r="A157" t="s">
        <v>325</v>
      </c>
      <c r="B157">
        <v>29</v>
      </c>
      <c r="C157" t="s">
        <v>18</v>
      </c>
      <c r="D157" t="s">
        <v>33</v>
      </c>
      <c r="E157" t="s">
        <v>110</v>
      </c>
      <c r="F157" t="s">
        <v>128</v>
      </c>
      <c r="G157" t="s">
        <v>326</v>
      </c>
      <c r="H157">
        <v>4</v>
      </c>
      <c r="I157">
        <v>9655</v>
      </c>
      <c r="J157">
        <v>8</v>
      </c>
      <c r="K157" t="s">
        <v>24</v>
      </c>
      <c r="L157">
        <v>1</v>
      </c>
      <c r="M157">
        <v>2</v>
      </c>
      <c r="N157">
        <v>3</v>
      </c>
      <c r="O157">
        <v>2</v>
      </c>
      <c r="P157" t="s">
        <v>24</v>
      </c>
    </row>
    <row r="158" spans="1:16" x14ac:dyDescent="0.25">
      <c r="A158" t="s">
        <v>327</v>
      </c>
      <c r="B158">
        <v>39</v>
      </c>
      <c r="C158" t="s">
        <v>18</v>
      </c>
      <c r="D158" t="s">
        <v>33</v>
      </c>
      <c r="E158" t="s">
        <v>28</v>
      </c>
      <c r="F158" t="s">
        <v>59</v>
      </c>
      <c r="G158" t="s">
        <v>328</v>
      </c>
      <c r="H158">
        <v>0</v>
      </c>
      <c r="I158">
        <v>6138</v>
      </c>
      <c r="J158">
        <v>4</v>
      </c>
      <c r="K158" t="s">
        <v>36</v>
      </c>
      <c r="L158">
        <v>4</v>
      </c>
      <c r="M158">
        <v>4</v>
      </c>
      <c r="N158">
        <v>3</v>
      </c>
      <c r="O158">
        <v>2</v>
      </c>
      <c r="P158" t="s">
        <v>24</v>
      </c>
    </row>
    <row r="159" spans="1:16" x14ac:dyDescent="0.25">
      <c r="A159" t="s">
        <v>329</v>
      </c>
      <c r="B159">
        <v>32</v>
      </c>
      <c r="C159" t="s">
        <v>26</v>
      </c>
      <c r="D159" t="s">
        <v>19</v>
      </c>
      <c r="E159" t="s">
        <v>28</v>
      </c>
      <c r="F159" t="s">
        <v>59</v>
      </c>
      <c r="G159" t="s">
        <v>330</v>
      </c>
      <c r="H159">
        <v>1</v>
      </c>
      <c r="I159">
        <v>4004</v>
      </c>
      <c r="J159">
        <v>9</v>
      </c>
      <c r="K159" t="s">
        <v>36</v>
      </c>
      <c r="L159">
        <v>4</v>
      </c>
      <c r="M159">
        <v>3</v>
      </c>
      <c r="N159">
        <v>3</v>
      </c>
      <c r="O159">
        <v>5</v>
      </c>
      <c r="P159" t="s">
        <v>36</v>
      </c>
    </row>
    <row r="160" spans="1:16" x14ac:dyDescent="0.25">
      <c r="A160" t="s">
        <v>331</v>
      </c>
      <c r="B160">
        <v>35</v>
      </c>
      <c r="C160" t="s">
        <v>26</v>
      </c>
      <c r="D160" t="s">
        <v>19</v>
      </c>
      <c r="E160" t="s">
        <v>28</v>
      </c>
      <c r="F160" t="s">
        <v>29</v>
      </c>
      <c r="G160" t="s">
        <v>332</v>
      </c>
      <c r="H160">
        <v>1</v>
      </c>
      <c r="I160">
        <v>15640</v>
      </c>
      <c r="J160">
        <v>13</v>
      </c>
      <c r="K160" t="s">
        <v>36</v>
      </c>
      <c r="L160">
        <v>3</v>
      </c>
      <c r="M160">
        <v>4</v>
      </c>
      <c r="N160">
        <v>4</v>
      </c>
      <c r="O160">
        <v>4</v>
      </c>
      <c r="P160" t="s">
        <v>24</v>
      </c>
    </row>
    <row r="161" spans="1:16" x14ac:dyDescent="0.25">
      <c r="A161" t="s">
        <v>333</v>
      </c>
      <c r="B161">
        <v>34</v>
      </c>
      <c r="C161" t="s">
        <v>18</v>
      </c>
      <c r="D161" t="s">
        <v>27</v>
      </c>
      <c r="E161" t="s">
        <v>28</v>
      </c>
      <c r="F161" t="s">
        <v>29</v>
      </c>
      <c r="G161" t="s">
        <v>334</v>
      </c>
      <c r="H161">
        <v>1</v>
      </c>
      <c r="I161">
        <v>14834</v>
      </c>
      <c r="J161">
        <v>2</v>
      </c>
      <c r="K161" t="s">
        <v>36</v>
      </c>
      <c r="L161">
        <v>3</v>
      </c>
      <c r="M161">
        <v>3</v>
      </c>
      <c r="N161">
        <v>4</v>
      </c>
      <c r="O161">
        <v>1</v>
      </c>
      <c r="P161" t="s">
        <v>24</v>
      </c>
    </row>
    <row r="162" spans="1:16" x14ac:dyDescent="0.25">
      <c r="A162" t="s">
        <v>1149</v>
      </c>
      <c r="B162">
        <v>42</v>
      </c>
      <c r="C162" t="s">
        <v>26</v>
      </c>
      <c r="D162" t="s">
        <v>33</v>
      </c>
      <c r="E162" t="s">
        <v>20</v>
      </c>
      <c r="F162" t="s">
        <v>40</v>
      </c>
      <c r="G162" t="s">
        <v>1150</v>
      </c>
      <c r="H162">
        <v>1</v>
      </c>
      <c r="I162">
        <v>3548</v>
      </c>
      <c r="J162">
        <v>8</v>
      </c>
      <c r="K162" t="s">
        <v>24</v>
      </c>
      <c r="L162">
        <v>3</v>
      </c>
      <c r="N162">
        <v>3</v>
      </c>
      <c r="O162">
        <v>4</v>
      </c>
      <c r="P162" t="s">
        <v>24</v>
      </c>
    </row>
    <row r="163" spans="1:16" x14ac:dyDescent="0.25">
      <c r="A163" t="s">
        <v>335</v>
      </c>
      <c r="B163">
        <v>36</v>
      </c>
      <c r="C163" t="s">
        <v>26</v>
      </c>
      <c r="D163" t="s">
        <v>33</v>
      </c>
      <c r="E163" t="s">
        <v>28</v>
      </c>
      <c r="F163" t="s">
        <v>59</v>
      </c>
      <c r="G163" t="s">
        <v>336</v>
      </c>
      <c r="H163">
        <v>2</v>
      </c>
      <c r="I163">
        <v>6494</v>
      </c>
      <c r="J163">
        <v>4</v>
      </c>
      <c r="K163" t="s">
        <v>24</v>
      </c>
      <c r="L163">
        <v>2</v>
      </c>
      <c r="M163">
        <v>3</v>
      </c>
      <c r="N163">
        <v>3</v>
      </c>
      <c r="O163">
        <v>0</v>
      </c>
      <c r="P163" t="s">
        <v>24</v>
      </c>
    </row>
    <row r="164" spans="1:16" x14ac:dyDescent="0.25">
      <c r="A164" t="s">
        <v>337</v>
      </c>
      <c r="B164">
        <v>40</v>
      </c>
      <c r="C164" t="s">
        <v>26</v>
      </c>
      <c r="D164" t="s">
        <v>19</v>
      </c>
      <c r="E164" t="s">
        <v>20</v>
      </c>
      <c r="F164" t="s">
        <v>40</v>
      </c>
      <c r="G164" t="s">
        <v>338</v>
      </c>
      <c r="H164">
        <v>0</v>
      </c>
      <c r="I164">
        <v>3599</v>
      </c>
      <c r="J164">
        <v>9</v>
      </c>
      <c r="K164" t="s">
        <v>36</v>
      </c>
      <c r="L164">
        <v>3</v>
      </c>
      <c r="M164">
        <v>3</v>
      </c>
      <c r="N164">
        <v>3</v>
      </c>
      <c r="O164">
        <v>2</v>
      </c>
      <c r="P164" t="s">
        <v>24</v>
      </c>
    </row>
    <row r="165" spans="1:16" x14ac:dyDescent="0.25">
      <c r="A165" t="s">
        <v>339</v>
      </c>
      <c r="B165">
        <v>29</v>
      </c>
      <c r="C165" t="s">
        <v>26</v>
      </c>
      <c r="D165" t="s">
        <v>19</v>
      </c>
      <c r="E165" t="s">
        <v>28</v>
      </c>
      <c r="F165" t="s">
        <v>59</v>
      </c>
      <c r="G165" t="s">
        <v>340</v>
      </c>
      <c r="H165">
        <v>4</v>
      </c>
      <c r="I165">
        <v>6906</v>
      </c>
      <c r="J165">
        <v>1</v>
      </c>
      <c r="K165" t="s">
        <v>36</v>
      </c>
      <c r="L165">
        <v>1</v>
      </c>
      <c r="M165">
        <v>3</v>
      </c>
      <c r="N165">
        <v>3</v>
      </c>
      <c r="O165">
        <v>0</v>
      </c>
      <c r="P165" t="s">
        <v>24</v>
      </c>
    </row>
    <row r="166" spans="1:16" x14ac:dyDescent="0.25">
      <c r="A166" t="s">
        <v>341</v>
      </c>
      <c r="B166">
        <v>32</v>
      </c>
      <c r="C166" t="s">
        <v>26</v>
      </c>
      <c r="D166" t="s">
        <v>19</v>
      </c>
      <c r="E166" t="s">
        <v>110</v>
      </c>
      <c r="F166" t="s">
        <v>128</v>
      </c>
      <c r="G166" t="s">
        <v>342</v>
      </c>
      <c r="H166">
        <v>0</v>
      </c>
      <c r="I166">
        <v>8983</v>
      </c>
      <c r="J166">
        <v>5</v>
      </c>
      <c r="K166" t="s">
        <v>24</v>
      </c>
      <c r="L166">
        <v>2</v>
      </c>
      <c r="M166">
        <v>3</v>
      </c>
      <c r="N166">
        <v>4</v>
      </c>
      <c r="O166">
        <v>3</v>
      </c>
      <c r="P166" t="s">
        <v>24</v>
      </c>
    </row>
    <row r="167" spans="1:16" x14ac:dyDescent="0.25">
      <c r="A167" t="s">
        <v>343</v>
      </c>
      <c r="B167">
        <v>22</v>
      </c>
      <c r="C167" t="s">
        <v>18</v>
      </c>
      <c r="D167" t="s">
        <v>33</v>
      </c>
      <c r="E167" t="s">
        <v>20</v>
      </c>
      <c r="F167" t="s">
        <v>21</v>
      </c>
      <c r="G167" t="s">
        <v>344</v>
      </c>
      <c r="H167">
        <v>2</v>
      </c>
      <c r="I167">
        <v>9555</v>
      </c>
      <c r="J167">
        <v>4</v>
      </c>
      <c r="K167" t="s">
        <v>24</v>
      </c>
      <c r="L167">
        <v>1</v>
      </c>
      <c r="M167">
        <v>3</v>
      </c>
      <c r="N167">
        <v>3</v>
      </c>
      <c r="O167">
        <v>3</v>
      </c>
      <c r="P167" t="s">
        <v>24</v>
      </c>
    </row>
    <row r="168" spans="1:16" x14ac:dyDescent="0.25">
      <c r="A168" t="s">
        <v>345</v>
      </c>
      <c r="B168">
        <v>27</v>
      </c>
      <c r="C168" t="s">
        <v>18</v>
      </c>
      <c r="D168" t="s">
        <v>19</v>
      </c>
      <c r="E168" t="s">
        <v>28</v>
      </c>
      <c r="F168" t="s">
        <v>59</v>
      </c>
      <c r="G168" t="s">
        <v>346</v>
      </c>
      <c r="H168">
        <v>2</v>
      </c>
      <c r="I168">
        <v>6288</v>
      </c>
      <c r="J168">
        <v>7</v>
      </c>
      <c r="K168" t="s">
        <v>36</v>
      </c>
      <c r="L168">
        <v>4</v>
      </c>
      <c r="M168">
        <v>3</v>
      </c>
      <c r="N168">
        <v>3</v>
      </c>
      <c r="O168">
        <v>0</v>
      </c>
      <c r="P168" t="s">
        <v>36</v>
      </c>
    </row>
    <row r="169" spans="1:16" x14ac:dyDescent="0.25">
      <c r="A169" t="s">
        <v>347</v>
      </c>
      <c r="B169">
        <v>43</v>
      </c>
      <c r="C169" t="s">
        <v>26</v>
      </c>
      <c r="D169" t="s">
        <v>19</v>
      </c>
      <c r="E169" t="s">
        <v>28</v>
      </c>
      <c r="F169" t="s">
        <v>64</v>
      </c>
      <c r="G169" t="s">
        <v>348</v>
      </c>
      <c r="H169">
        <v>2</v>
      </c>
      <c r="I169">
        <v>4394</v>
      </c>
      <c r="J169">
        <v>10</v>
      </c>
      <c r="K169" t="s">
        <v>24</v>
      </c>
      <c r="L169">
        <v>4</v>
      </c>
      <c r="M169">
        <v>4</v>
      </c>
      <c r="N169">
        <v>4</v>
      </c>
      <c r="O169">
        <v>2</v>
      </c>
      <c r="P169" t="s">
        <v>24</v>
      </c>
    </row>
    <row r="170" spans="1:16" x14ac:dyDescent="0.25">
      <c r="A170" t="s">
        <v>349</v>
      </c>
      <c r="B170">
        <v>31</v>
      </c>
      <c r="C170" t="s">
        <v>18</v>
      </c>
      <c r="D170" t="s">
        <v>27</v>
      </c>
      <c r="E170" t="s">
        <v>20</v>
      </c>
      <c r="F170" t="s">
        <v>21</v>
      </c>
      <c r="G170" t="s">
        <v>350</v>
      </c>
      <c r="H170">
        <v>13</v>
      </c>
      <c r="I170">
        <v>11707</v>
      </c>
      <c r="J170">
        <v>2</v>
      </c>
      <c r="K170" t="s">
        <v>24</v>
      </c>
      <c r="L170">
        <v>2</v>
      </c>
      <c r="M170">
        <v>4</v>
      </c>
      <c r="N170">
        <v>3</v>
      </c>
      <c r="O170">
        <v>1</v>
      </c>
      <c r="P170" t="s">
        <v>36</v>
      </c>
    </row>
    <row r="171" spans="1:16" x14ac:dyDescent="0.25">
      <c r="A171" t="s">
        <v>351</v>
      </c>
      <c r="B171">
        <v>26</v>
      </c>
      <c r="C171" t="s">
        <v>26</v>
      </c>
      <c r="D171" t="s">
        <v>27</v>
      </c>
      <c r="E171" t="s">
        <v>28</v>
      </c>
      <c r="F171" t="s">
        <v>29</v>
      </c>
      <c r="G171" t="s">
        <v>352</v>
      </c>
      <c r="H171">
        <v>7</v>
      </c>
      <c r="I171">
        <v>15474</v>
      </c>
      <c r="J171">
        <v>20</v>
      </c>
      <c r="K171" t="s">
        <v>36</v>
      </c>
      <c r="L171">
        <v>2</v>
      </c>
      <c r="M171">
        <v>3</v>
      </c>
      <c r="N171">
        <v>3</v>
      </c>
      <c r="O171">
        <v>5</v>
      </c>
      <c r="P171" t="s">
        <v>24</v>
      </c>
    </row>
    <row r="172" spans="1:16" x14ac:dyDescent="0.25">
      <c r="A172" t="s">
        <v>353</v>
      </c>
      <c r="B172">
        <v>20</v>
      </c>
      <c r="C172" t="s">
        <v>18</v>
      </c>
      <c r="D172" t="s">
        <v>27</v>
      </c>
      <c r="E172" t="s">
        <v>20</v>
      </c>
      <c r="F172" t="s">
        <v>40</v>
      </c>
      <c r="G172" t="s">
        <v>354</v>
      </c>
      <c r="H172">
        <v>7</v>
      </c>
      <c r="I172">
        <v>3689</v>
      </c>
      <c r="J172">
        <v>22</v>
      </c>
      <c r="K172" t="s">
        <v>36</v>
      </c>
      <c r="L172">
        <v>2</v>
      </c>
      <c r="M172">
        <v>3</v>
      </c>
      <c r="N172">
        <v>3</v>
      </c>
      <c r="O172">
        <v>2</v>
      </c>
      <c r="P172" t="s">
        <v>36</v>
      </c>
    </row>
    <row r="173" spans="1:16" x14ac:dyDescent="0.25">
      <c r="A173" t="s">
        <v>355</v>
      </c>
      <c r="B173">
        <v>30</v>
      </c>
      <c r="C173" t="s">
        <v>18</v>
      </c>
      <c r="D173" t="s">
        <v>33</v>
      </c>
      <c r="E173" t="s">
        <v>28</v>
      </c>
      <c r="F173" t="s">
        <v>34</v>
      </c>
      <c r="G173" t="s">
        <v>356</v>
      </c>
      <c r="H173">
        <v>2</v>
      </c>
      <c r="I173">
        <v>3776</v>
      </c>
      <c r="J173">
        <v>5</v>
      </c>
      <c r="K173" t="s">
        <v>36</v>
      </c>
      <c r="L173">
        <v>4</v>
      </c>
      <c r="M173">
        <v>4</v>
      </c>
      <c r="N173">
        <v>3</v>
      </c>
      <c r="O173">
        <v>5</v>
      </c>
      <c r="P173" t="s">
        <v>24</v>
      </c>
    </row>
    <row r="174" spans="1:16" x14ac:dyDescent="0.25">
      <c r="A174" t="s">
        <v>357</v>
      </c>
      <c r="B174">
        <v>25</v>
      </c>
      <c r="C174" t="s">
        <v>26</v>
      </c>
      <c r="D174" t="s">
        <v>27</v>
      </c>
      <c r="E174" t="s">
        <v>28</v>
      </c>
      <c r="F174" t="s">
        <v>64</v>
      </c>
      <c r="G174" t="s">
        <v>358</v>
      </c>
      <c r="H174">
        <v>3</v>
      </c>
      <c r="I174">
        <v>4909</v>
      </c>
      <c r="J174">
        <v>2</v>
      </c>
      <c r="K174" t="s">
        <v>36</v>
      </c>
      <c r="L174">
        <v>1</v>
      </c>
      <c r="M174">
        <v>3</v>
      </c>
      <c r="N174">
        <v>3</v>
      </c>
      <c r="O174">
        <v>2</v>
      </c>
      <c r="P174" t="s">
        <v>24</v>
      </c>
    </row>
    <row r="175" spans="1:16" x14ac:dyDescent="0.25">
      <c r="A175" t="s">
        <v>359</v>
      </c>
      <c r="B175">
        <v>35</v>
      </c>
      <c r="C175" t="s">
        <v>18</v>
      </c>
      <c r="D175" t="s">
        <v>33</v>
      </c>
      <c r="E175" t="s">
        <v>20</v>
      </c>
      <c r="F175" t="s">
        <v>40</v>
      </c>
      <c r="G175" t="s">
        <v>360</v>
      </c>
      <c r="H175">
        <v>0</v>
      </c>
      <c r="I175">
        <v>4543</v>
      </c>
      <c r="J175">
        <v>4</v>
      </c>
      <c r="K175" t="s">
        <v>24</v>
      </c>
      <c r="L175">
        <v>4</v>
      </c>
      <c r="M175">
        <v>4</v>
      </c>
      <c r="N175">
        <v>3</v>
      </c>
      <c r="O175">
        <v>1</v>
      </c>
      <c r="P175" t="s">
        <v>24</v>
      </c>
    </row>
    <row r="176" spans="1:16" x14ac:dyDescent="0.25">
      <c r="A176" t="s">
        <v>361</v>
      </c>
      <c r="B176">
        <v>25</v>
      </c>
      <c r="C176" t="s">
        <v>18</v>
      </c>
      <c r="D176" t="s">
        <v>33</v>
      </c>
      <c r="E176" t="s">
        <v>28</v>
      </c>
      <c r="F176" t="s">
        <v>59</v>
      </c>
      <c r="G176" t="s">
        <v>362</v>
      </c>
      <c r="H176">
        <v>10</v>
      </c>
      <c r="I176">
        <v>6347</v>
      </c>
      <c r="J176">
        <v>6</v>
      </c>
      <c r="K176" t="s">
        <v>36</v>
      </c>
      <c r="L176">
        <v>3</v>
      </c>
      <c r="M176">
        <v>4</v>
      </c>
      <c r="N176">
        <v>3</v>
      </c>
      <c r="O176">
        <v>5</v>
      </c>
      <c r="P176" t="s">
        <v>24</v>
      </c>
    </row>
    <row r="177" spans="1:16" x14ac:dyDescent="0.25">
      <c r="A177" t="s">
        <v>363</v>
      </c>
      <c r="B177">
        <v>31</v>
      </c>
      <c r="C177" t="s">
        <v>18</v>
      </c>
      <c r="D177" t="s">
        <v>27</v>
      </c>
      <c r="E177" t="s">
        <v>20</v>
      </c>
      <c r="F177" t="s">
        <v>40</v>
      </c>
      <c r="G177" t="s">
        <v>364</v>
      </c>
      <c r="H177">
        <v>0</v>
      </c>
      <c r="I177">
        <v>3396</v>
      </c>
      <c r="J177">
        <v>3</v>
      </c>
      <c r="K177" t="s">
        <v>24</v>
      </c>
      <c r="L177">
        <v>3</v>
      </c>
      <c r="M177">
        <v>2</v>
      </c>
      <c r="N177">
        <v>3</v>
      </c>
      <c r="O177">
        <v>3</v>
      </c>
      <c r="P177" t="s">
        <v>24</v>
      </c>
    </row>
    <row r="178" spans="1:16" x14ac:dyDescent="0.25">
      <c r="A178" t="s">
        <v>365</v>
      </c>
      <c r="B178">
        <v>35</v>
      </c>
      <c r="C178" t="s">
        <v>18</v>
      </c>
      <c r="D178" t="s">
        <v>19</v>
      </c>
      <c r="E178" t="s">
        <v>110</v>
      </c>
      <c r="F178" t="s">
        <v>128</v>
      </c>
      <c r="G178" t="s">
        <v>366</v>
      </c>
      <c r="H178">
        <v>1</v>
      </c>
      <c r="I178">
        <v>10255</v>
      </c>
      <c r="J178">
        <v>14</v>
      </c>
      <c r="K178" t="s">
        <v>24</v>
      </c>
      <c r="L178">
        <v>2</v>
      </c>
      <c r="M178">
        <v>4</v>
      </c>
      <c r="N178">
        <v>3</v>
      </c>
      <c r="O178">
        <v>4</v>
      </c>
      <c r="P178" t="s">
        <v>24</v>
      </c>
    </row>
    <row r="179" spans="1:16" x14ac:dyDescent="0.25">
      <c r="A179" t="s">
        <v>240</v>
      </c>
      <c r="B179">
        <v>32</v>
      </c>
      <c r="C179" t="s">
        <v>26</v>
      </c>
      <c r="D179" t="s">
        <v>33</v>
      </c>
      <c r="E179" t="s">
        <v>20</v>
      </c>
      <c r="F179" t="s">
        <v>21</v>
      </c>
      <c r="G179" t="s">
        <v>241</v>
      </c>
      <c r="H179">
        <v>4</v>
      </c>
      <c r="I179">
        <v>13480</v>
      </c>
      <c r="J179">
        <v>22</v>
      </c>
      <c r="K179" t="s">
        <v>24</v>
      </c>
      <c r="L179">
        <v>4</v>
      </c>
      <c r="M179">
        <v>3</v>
      </c>
      <c r="N179">
        <v>3</v>
      </c>
      <c r="O179">
        <v>2</v>
      </c>
      <c r="P179" t="s">
        <v>24</v>
      </c>
    </row>
    <row r="180" spans="1:16" x14ac:dyDescent="0.25">
      <c r="A180" t="s">
        <v>367</v>
      </c>
      <c r="B180">
        <v>43</v>
      </c>
      <c r="C180" t="s">
        <v>18</v>
      </c>
      <c r="D180" t="s">
        <v>33</v>
      </c>
      <c r="E180" t="s">
        <v>28</v>
      </c>
      <c r="F180" t="s">
        <v>64</v>
      </c>
      <c r="G180" t="s">
        <v>368</v>
      </c>
      <c r="H180">
        <v>1</v>
      </c>
      <c r="I180">
        <v>6315</v>
      </c>
      <c r="J180">
        <v>10</v>
      </c>
      <c r="K180" t="s">
        <v>24</v>
      </c>
      <c r="L180">
        <v>4</v>
      </c>
      <c r="M180">
        <v>2</v>
      </c>
      <c r="N180">
        <v>3</v>
      </c>
      <c r="O180">
        <v>3</v>
      </c>
      <c r="P180" t="s">
        <v>24</v>
      </c>
    </row>
    <row r="181" spans="1:16" x14ac:dyDescent="0.25">
      <c r="A181" t="s">
        <v>369</v>
      </c>
      <c r="B181">
        <v>45</v>
      </c>
      <c r="C181" t="s">
        <v>18</v>
      </c>
      <c r="D181" t="s">
        <v>27</v>
      </c>
      <c r="E181" t="s">
        <v>20</v>
      </c>
      <c r="F181" t="s">
        <v>40</v>
      </c>
      <c r="G181" t="s">
        <v>370</v>
      </c>
      <c r="H181">
        <v>0</v>
      </c>
      <c r="I181">
        <v>3357</v>
      </c>
      <c r="J181">
        <v>14</v>
      </c>
      <c r="K181" t="s">
        <v>36</v>
      </c>
      <c r="L181">
        <v>2</v>
      </c>
      <c r="M181">
        <v>2</v>
      </c>
      <c r="N181">
        <v>3</v>
      </c>
      <c r="O181">
        <v>1</v>
      </c>
      <c r="P181" t="s">
        <v>36</v>
      </c>
    </row>
    <row r="182" spans="1:16" x14ac:dyDescent="0.25">
      <c r="A182" t="s">
        <v>371</v>
      </c>
      <c r="B182">
        <v>37</v>
      </c>
      <c r="C182" t="s">
        <v>26</v>
      </c>
      <c r="D182" t="s">
        <v>33</v>
      </c>
      <c r="E182" t="s">
        <v>20</v>
      </c>
      <c r="F182" t="s">
        <v>21</v>
      </c>
      <c r="G182" t="s">
        <v>372</v>
      </c>
      <c r="H182">
        <v>2</v>
      </c>
      <c r="I182">
        <v>14284</v>
      </c>
      <c r="J182">
        <v>1</v>
      </c>
      <c r="K182" t="s">
        <v>24</v>
      </c>
      <c r="L182">
        <v>4</v>
      </c>
      <c r="M182">
        <v>3</v>
      </c>
      <c r="N182">
        <v>3</v>
      </c>
      <c r="O182">
        <v>3</v>
      </c>
      <c r="P182" t="s">
        <v>24</v>
      </c>
    </row>
    <row r="183" spans="1:16" x14ac:dyDescent="0.25">
      <c r="A183" t="s">
        <v>373</v>
      </c>
      <c r="B183">
        <v>32</v>
      </c>
      <c r="C183" t="s">
        <v>18</v>
      </c>
      <c r="D183" t="s">
        <v>19</v>
      </c>
      <c r="E183" t="s">
        <v>110</v>
      </c>
      <c r="F183" t="s">
        <v>111</v>
      </c>
      <c r="G183" t="s">
        <v>374</v>
      </c>
      <c r="H183">
        <v>4</v>
      </c>
      <c r="I183">
        <v>5112</v>
      </c>
      <c r="J183">
        <v>2</v>
      </c>
      <c r="K183" t="s">
        <v>24</v>
      </c>
      <c r="L183">
        <v>4</v>
      </c>
      <c r="M183">
        <v>2</v>
      </c>
      <c r="N183">
        <v>3</v>
      </c>
      <c r="O183">
        <v>3</v>
      </c>
      <c r="P183" t="s">
        <v>24</v>
      </c>
    </row>
    <row r="184" spans="1:16" x14ac:dyDescent="0.25">
      <c r="A184" t="s">
        <v>375</v>
      </c>
      <c r="B184">
        <v>27</v>
      </c>
      <c r="C184" t="s">
        <v>18</v>
      </c>
      <c r="D184" t="s">
        <v>19</v>
      </c>
      <c r="E184" t="s">
        <v>1151</v>
      </c>
      <c r="F184" t="s">
        <v>40</v>
      </c>
      <c r="G184" t="s">
        <v>376</v>
      </c>
      <c r="H184">
        <v>3</v>
      </c>
      <c r="I184">
        <v>4531</v>
      </c>
      <c r="J184">
        <v>1</v>
      </c>
      <c r="K184" t="s">
        <v>24</v>
      </c>
      <c r="L184">
        <v>4</v>
      </c>
      <c r="M184">
        <v>4</v>
      </c>
      <c r="N184">
        <v>3</v>
      </c>
      <c r="O184">
        <v>1</v>
      </c>
      <c r="P184" t="s">
        <v>24</v>
      </c>
    </row>
    <row r="185" spans="1:16" x14ac:dyDescent="0.25">
      <c r="A185" t="s">
        <v>377</v>
      </c>
      <c r="B185">
        <v>36</v>
      </c>
      <c r="C185" t="s">
        <v>18</v>
      </c>
      <c r="D185" t="s">
        <v>33</v>
      </c>
      <c r="E185" t="s">
        <v>20</v>
      </c>
      <c r="F185" t="s">
        <v>44</v>
      </c>
      <c r="G185" t="s">
        <v>378</v>
      </c>
      <c r="H185">
        <v>2</v>
      </c>
      <c r="I185">
        <v>5886</v>
      </c>
      <c r="J185">
        <v>7</v>
      </c>
      <c r="K185" t="s">
        <v>36</v>
      </c>
      <c r="L185">
        <v>1</v>
      </c>
      <c r="M185">
        <v>3</v>
      </c>
      <c r="N185">
        <v>3</v>
      </c>
      <c r="O185">
        <v>4</v>
      </c>
      <c r="P185" t="s">
        <v>36</v>
      </c>
    </row>
    <row r="186" spans="1:16" x14ac:dyDescent="0.25">
      <c r="A186" t="s">
        <v>1152</v>
      </c>
      <c r="B186">
        <v>36</v>
      </c>
      <c r="C186" t="s">
        <v>26</v>
      </c>
      <c r="D186" t="s">
        <v>33</v>
      </c>
      <c r="E186" t="s">
        <v>28</v>
      </c>
      <c r="F186" t="s">
        <v>64</v>
      </c>
      <c r="G186" t="s">
        <v>1153</v>
      </c>
      <c r="H186">
        <v>2</v>
      </c>
      <c r="I186">
        <v>5339</v>
      </c>
      <c r="J186">
        <v>1</v>
      </c>
      <c r="K186" t="s">
        <v>36</v>
      </c>
      <c r="L186">
        <v>3</v>
      </c>
      <c r="N186">
        <v>3</v>
      </c>
      <c r="O186">
        <v>3</v>
      </c>
      <c r="P186" t="s">
        <v>36</v>
      </c>
    </row>
    <row r="187" spans="1:16" x14ac:dyDescent="0.25">
      <c r="A187" t="s">
        <v>379</v>
      </c>
      <c r="B187">
        <v>28</v>
      </c>
      <c r="C187" t="s">
        <v>18</v>
      </c>
      <c r="D187" t="s">
        <v>33</v>
      </c>
      <c r="E187" t="s">
        <v>28</v>
      </c>
      <c r="F187" t="s">
        <v>59</v>
      </c>
      <c r="G187" t="s">
        <v>380</v>
      </c>
      <c r="H187">
        <v>7</v>
      </c>
      <c r="I187">
        <v>6749</v>
      </c>
      <c r="J187">
        <v>28</v>
      </c>
      <c r="K187" t="s">
        <v>36</v>
      </c>
      <c r="L187">
        <v>3</v>
      </c>
      <c r="M187">
        <v>2</v>
      </c>
      <c r="N187">
        <v>4</v>
      </c>
      <c r="O187">
        <v>4</v>
      </c>
      <c r="P187" t="s">
        <v>36</v>
      </c>
    </row>
    <row r="188" spans="1:16" x14ac:dyDescent="0.25">
      <c r="A188" t="s">
        <v>381</v>
      </c>
      <c r="B188">
        <v>28</v>
      </c>
      <c r="C188" t="s">
        <v>26</v>
      </c>
      <c r="D188" t="s">
        <v>19</v>
      </c>
      <c r="E188" t="s">
        <v>1154</v>
      </c>
      <c r="F188" t="s">
        <v>64</v>
      </c>
      <c r="G188" t="s">
        <v>382</v>
      </c>
      <c r="H188">
        <v>0</v>
      </c>
      <c r="I188">
        <v>5341</v>
      </c>
      <c r="J188">
        <v>1</v>
      </c>
      <c r="K188" t="s">
        <v>24</v>
      </c>
      <c r="L188">
        <v>1</v>
      </c>
      <c r="M188">
        <v>2</v>
      </c>
      <c r="N188">
        <v>3</v>
      </c>
      <c r="O188">
        <v>1</v>
      </c>
      <c r="P188" t="s">
        <v>36</v>
      </c>
    </row>
    <row r="189" spans="1:16" x14ac:dyDescent="0.25">
      <c r="A189" t="s">
        <v>383</v>
      </c>
      <c r="B189">
        <v>31</v>
      </c>
      <c r="C189" t="s">
        <v>26</v>
      </c>
      <c r="D189" t="s">
        <v>19</v>
      </c>
      <c r="E189" t="s">
        <v>28</v>
      </c>
      <c r="F189" t="s">
        <v>64</v>
      </c>
      <c r="G189" t="s">
        <v>384</v>
      </c>
      <c r="H189">
        <v>3</v>
      </c>
      <c r="I189">
        <v>4778</v>
      </c>
      <c r="J189">
        <v>10</v>
      </c>
      <c r="K189" t="s">
        <v>24</v>
      </c>
      <c r="L189">
        <v>1</v>
      </c>
      <c r="M189">
        <v>3</v>
      </c>
      <c r="N189">
        <v>4</v>
      </c>
      <c r="O189">
        <v>1</v>
      </c>
      <c r="P189" t="s">
        <v>24</v>
      </c>
    </row>
    <row r="190" spans="1:16" x14ac:dyDescent="0.25">
      <c r="A190" t="s">
        <v>385</v>
      </c>
      <c r="B190">
        <v>36</v>
      </c>
      <c r="C190" t="s">
        <v>18</v>
      </c>
      <c r="D190" t="s">
        <v>27</v>
      </c>
      <c r="E190" t="s">
        <v>28</v>
      </c>
      <c r="F190" t="s">
        <v>34</v>
      </c>
      <c r="G190" t="s">
        <v>386</v>
      </c>
      <c r="H190">
        <v>5</v>
      </c>
      <c r="I190">
        <v>3122</v>
      </c>
      <c r="J190">
        <v>12</v>
      </c>
      <c r="K190" t="s">
        <v>36</v>
      </c>
      <c r="L190">
        <v>2</v>
      </c>
      <c r="M190">
        <v>2</v>
      </c>
      <c r="N190">
        <v>3</v>
      </c>
      <c r="O190">
        <v>4</v>
      </c>
      <c r="P190" t="s">
        <v>24</v>
      </c>
    </row>
    <row r="191" spans="1:16" x14ac:dyDescent="0.25">
      <c r="A191" t="s">
        <v>387</v>
      </c>
      <c r="B191">
        <v>34</v>
      </c>
      <c r="C191" t="s">
        <v>18</v>
      </c>
      <c r="D191" t="s">
        <v>19</v>
      </c>
      <c r="E191" t="s">
        <v>20</v>
      </c>
      <c r="F191" t="s">
        <v>21</v>
      </c>
      <c r="G191" t="s">
        <v>388</v>
      </c>
      <c r="H191">
        <v>8</v>
      </c>
      <c r="I191">
        <v>11114</v>
      </c>
      <c r="J191">
        <v>1</v>
      </c>
      <c r="K191" t="s">
        <v>24</v>
      </c>
      <c r="L191">
        <v>3</v>
      </c>
      <c r="M191">
        <v>4</v>
      </c>
      <c r="N191">
        <v>4</v>
      </c>
      <c r="O191">
        <v>4</v>
      </c>
      <c r="P191" t="s">
        <v>24</v>
      </c>
    </row>
    <row r="192" spans="1:16" x14ac:dyDescent="0.25">
      <c r="A192" t="s">
        <v>389</v>
      </c>
      <c r="B192">
        <v>20</v>
      </c>
      <c r="C192" t="s">
        <v>26</v>
      </c>
      <c r="D192" t="s">
        <v>33</v>
      </c>
      <c r="E192" t="s">
        <v>20</v>
      </c>
      <c r="F192" t="s">
        <v>21</v>
      </c>
      <c r="G192" t="s">
        <v>390</v>
      </c>
      <c r="H192">
        <v>2</v>
      </c>
      <c r="I192">
        <v>11295</v>
      </c>
      <c r="J192">
        <v>7</v>
      </c>
      <c r="K192" t="s">
        <v>24</v>
      </c>
      <c r="L192">
        <v>4</v>
      </c>
      <c r="M192">
        <v>4</v>
      </c>
      <c r="N192">
        <v>3</v>
      </c>
      <c r="O192">
        <v>2</v>
      </c>
      <c r="P192" t="s">
        <v>24</v>
      </c>
    </row>
    <row r="193" spans="1:16" x14ac:dyDescent="0.25">
      <c r="A193" t="s">
        <v>391</v>
      </c>
      <c r="B193">
        <v>33</v>
      </c>
      <c r="C193" t="s">
        <v>26</v>
      </c>
      <c r="D193" t="s">
        <v>33</v>
      </c>
      <c r="E193" t="s">
        <v>28</v>
      </c>
      <c r="F193" t="s">
        <v>29</v>
      </c>
      <c r="G193" t="s">
        <v>392</v>
      </c>
      <c r="H193">
        <v>5</v>
      </c>
      <c r="I193">
        <v>14204</v>
      </c>
      <c r="J193">
        <v>3</v>
      </c>
      <c r="K193" t="s">
        <v>24</v>
      </c>
      <c r="L193">
        <v>3</v>
      </c>
      <c r="M193">
        <v>4</v>
      </c>
      <c r="N193">
        <v>3</v>
      </c>
      <c r="O193">
        <v>4</v>
      </c>
      <c r="P193" t="s">
        <v>24</v>
      </c>
    </row>
    <row r="194" spans="1:16" x14ac:dyDescent="0.25">
      <c r="A194" t="s">
        <v>393</v>
      </c>
      <c r="B194">
        <v>33</v>
      </c>
      <c r="C194" t="s">
        <v>26</v>
      </c>
      <c r="D194" t="s">
        <v>33</v>
      </c>
      <c r="E194" t="s">
        <v>28</v>
      </c>
      <c r="F194" t="s">
        <v>34</v>
      </c>
      <c r="G194" t="s">
        <v>394</v>
      </c>
      <c r="H194">
        <v>4</v>
      </c>
      <c r="I194">
        <v>3241</v>
      </c>
      <c r="J194">
        <v>2</v>
      </c>
      <c r="K194" t="s">
        <v>24</v>
      </c>
      <c r="L194">
        <v>2</v>
      </c>
      <c r="M194">
        <v>1</v>
      </c>
      <c r="N194">
        <v>3</v>
      </c>
      <c r="O194">
        <v>4</v>
      </c>
      <c r="P194" t="s">
        <v>24</v>
      </c>
    </row>
    <row r="195" spans="1:16" x14ac:dyDescent="0.25">
      <c r="A195" t="s">
        <v>395</v>
      </c>
      <c r="B195">
        <v>21</v>
      </c>
      <c r="C195" t="s">
        <v>18</v>
      </c>
      <c r="D195" t="s">
        <v>19</v>
      </c>
      <c r="E195" t="s">
        <v>20</v>
      </c>
      <c r="F195" t="s">
        <v>40</v>
      </c>
      <c r="G195" t="s">
        <v>396</v>
      </c>
      <c r="H195">
        <v>2</v>
      </c>
      <c r="I195">
        <v>3513</v>
      </c>
      <c r="J195">
        <v>2</v>
      </c>
      <c r="K195" t="s">
        <v>24</v>
      </c>
      <c r="L195">
        <v>4</v>
      </c>
      <c r="M195">
        <v>3</v>
      </c>
      <c r="N195">
        <v>3</v>
      </c>
      <c r="O195">
        <v>1</v>
      </c>
      <c r="P195" t="s">
        <v>36</v>
      </c>
    </row>
    <row r="196" spans="1:16" x14ac:dyDescent="0.25">
      <c r="A196" t="s">
        <v>397</v>
      </c>
      <c r="B196">
        <v>45</v>
      </c>
      <c r="C196" t="s">
        <v>26</v>
      </c>
      <c r="D196" t="s">
        <v>19</v>
      </c>
      <c r="E196" t="s">
        <v>20</v>
      </c>
      <c r="F196" t="s">
        <v>40</v>
      </c>
      <c r="G196" t="s">
        <v>398</v>
      </c>
      <c r="H196">
        <v>0</v>
      </c>
      <c r="I196">
        <v>3864</v>
      </c>
      <c r="J196">
        <v>1</v>
      </c>
      <c r="K196" t="s">
        <v>24</v>
      </c>
      <c r="L196">
        <v>4</v>
      </c>
      <c r="M196">
        <v>1</v>
      </c>
      <c r="N196">
        <v>3</v>
      </c>
      <c r="O196">
        <v>2</v>
      </c>
      <c r="P196" t="s">
        <v>24</v>
      </c>
    </row>
    <row r="197" spans="1:16" x14ac:dyDescent="0.25">
      <c r="A197" t="s">
        <v>399</v>
      </c>
      <c r="B197">
        <v>30</v>
      </c>
      <c r="C197" t="s">
        <v>18</v>
      </c>
      <c r="D197" t="s">
        <v>33</v>
      </c>
      <c r="E197" t="s">
        <v>20</v>
      </c>
      <c r="F197" t="s">
        <v>21</v>
      </c>
      <c r="G197" t="s">
        <v>400</v>
      </c>
      <c r="H197">
        <v>4</v>
      </c>
      <c r="I197">
        <v>14262</v>
      </c>
      <c r="J197">
        <v>7</v>
      </c>
      <c r="K197" t="s">
        <v>24</v>
      </c>
      <c r="L197">
        <v>4</v>
      </c>
      <c r="M197">
        <v>3</v>
      </c>
      <c r="N197">
        <v>3</v>
      </c>
      <c r="O197">
        <v>3</v>
      </c>
      <c r="P197" t="s">
        <v>36</v>
      </c>
    </row>
    <row r="198" spans="1:16" x14ac:dyDescent="0.25">
      <c r="A198" t="s">
        <v>401</v>
      </c>
      <c r="B198">
        <v>25</v>
      </c>
      <c r="C198" t="s">
        <v>26</v>
      </c>
      <c r="D198" t="s">
        <v>19</v>
      </c>
      <c r="E198" t="s">
        <v>28</v>
      </c>
      <c r="F198" t="s">
        <v>64</v>
      </c>
      <c r="G198" t="s">
        <v>402</v>
      </c>
      <c r="H198">
        <v>1</v>
      </c>
      <c r="I198">
        <v>5940</v>
      </c>
      <c r="J198">
        <v>8</v>
      </c>
      <c r="K198" t="s">
        <v>36</v>
      </c>
      <c r="L198">
        <v>2</v>
      </c>
      <c r="M198">
        <v>4</v>
      </c>
      <c r="N198">
        <v>3</v>
      </c>
      <c r="O198">
        <v>4</v>
      </c>
      <c r="P198" t="s">
        <v>24</v>
      </c>
    </row>
    <row r="199" spans="1:16" x14ac:dyDescent="0.25">
      <c r="A199" t="s">
        <v>403</v>
      </c>
      <c r="B199">
        <v>30</v>
      </c>
      <c r="C199" t="s">
        <v>18</v>
      </c>
      <c r="D199" t="s">
        <v>19</v>
      </c>
      <c r="E199" t="s">
        <v>20</v>
      </c>
      <c r="F199" t="s">
        <v>44</v>
      </c>
      <c r="G199" t="s">
        <v>404</v>
      </c>
      <c r="H199">
        <v>1</v>
      </c>
      <c r="I199">
        <v>6664</v>
      </c>
      <c r="J199">
        <v>1</v>
      </c>
      <c r="K199" t="s">
        <v>24</v>
      </c>
      <c r="L199">
        <v>4</v>
      </c>
      <c r="M199">
        <v>1</v>
      </c>
      <c r="N199">
        <v>3</v>
      </c>
      <c r="O199">
        <v>4</v>
      </c>
      <c r="P199" t="s">
        <v>24</v>
      </c>
    </row>
    <row r="200" spans="1:16" x14ac:dyDescent="0.25">
      <c r="A200" t="s">
        <v>405</v>
      </c>
      <c r="B200">
        <v>31</v>
      </c>
      <c r="C200" t="s">
        <v>26</v>
      </c>
      <c r="D200" t="s">
        <v>33</v>
      </c>
      <c r="E200" t="s">
        <v>28</v>
      </c>
      <c r="F200" t="s">
        <v>34</v>
      </c>
      <c r="G200" t="s">
        <v>406</v>
      </c>
      <c r="H200">
        <v>1</v>
      </c>
      <c r="I200">
        <v>3877</v>
      </c>
      <c r="J200">
        <v>1</v>
      </c>
      <c r="K200" t="s">
        <v>36</v>
      </c>
      <c r="L200">
        <v>1</v>
      </c>
      <c r="M200">
        <v>3</v>
      </c>
      <c r="N200">
        <v>3</v>
      </c>
      <c r="O200">
        <v>3</v>
      </c>
      <c r="P200" t="s">
        <v>24</v>
      </c>
    </row>
    <row r="201" spans="1:16" x14ac:dyDescent="0.25">
      <c r="A201" t="s">
        <v>407</v>
      </c>
      <c r="B201">
        <v>20</v>
      </c>
      <c r="C201" t="s">
        <v>26</v>
      </c>
      <c r="D201" t="s">
        <v>19</v>
      </c>
      <c r="E201" t="s">
        <v>28</v>
      </c>
      <c r="F201" t="s">
        <v>64</v>
      </c>
      <c r="G201" t="s">
        <v>408</v>
      </c>
      <c r="H201">
        <v>0</v>
      </c>
      <c r="I201">
        <v>5716</v>
      </c>
      <c r="J201">
        <v>3</v>
      </c>
      <c r="K201" t="s">
        <v>24</v>
      </c>
      <c r="L201">
        <v>4</v>
      </c>
      <c r="M201">
        <v>4</v>
      </c>
      <c r="N201">
        <v>3</v>
      </c>
      <c r="O201">
        <v>4</v>
      </c>
      <c r="P201" t="s">
        <v>24</v>
      </c>
    </row>
    <row r="202" spans="1:16" x14ac:dyDescent="0.25">
      <c r="A202" t="s">
        <v>409</v>
      </c>
      <c r="B202">
        <v>38</v>
      </c>
      <c r="C202" t="s">
        <v>26</v>
      </c>
      <c r="D202" t="s">
        <v>19</v>
      </c>
      <c r="E202" t="s">
        <v>20</v>
      </c>
      <c r="F202" t="s">
        <v>40</v>
      </c>
      <c r="G202" t="s">
        <v>410</v>
      </c>
      <c r="H202">
        <v>1</v>
      </c>
      <c r="I202">
        <v>4126</v>
      </c>
      <c r="J202">
        <v>12</v>
      </c>
      <c r="K202" t="s">
        <v>24</v>
      </c>
      <c r="L202">
        <v>4</v>
      </c>
      <c r="M202">
        <v>3</v>
      </c>
      <c r="N202">
        <v>3</v>
      </c>
      <c r="O202">
        <v>5</v>
      </c>
      <c r="P202" t="s">
        <v>24</v>
      </c>
    </row>
    <row r="203" spans="1:16" x14ac:dyDescent="0.25">
      <c r="A203" t="s">
        <v>411</v>
      </c>
      <c r="B203">
        <v>34</v>
      </c>
      <c r="C203" t="s">
        <v>26</v>
      </c>
      <c r="D203" t="s">
        <v>33</v>
      </c>
      <c r="E203" t="s">
        <v>20</v>
      </c>
      <c r="F203" t="s">
        <v>40</v>
      </c>
      <c r="G203" t="s">
        <v>412</v>
      </c>
      <c r="H203">
        <v>7</v>
      </c>
      <c r="I203">
        <v>5681</v>
      </c>
      <c r="J203">
        <v>6</v>
      </c>
      <c r="K203" t="s">
        <v>24</v>
      </c>
      <c r="L203">
        <v>4</v>
      </c>
      <c r="M203">
        <v>2</v>
      </c>
      <c r="N203">
        <v>3</v>
      </c>
      <c r="O203">
        <v>2</v>
      </c>
      <c r="P203" t="s">
        <v>24</v>
      </c>
    </row>
    <row r="204" spans="1:16" x14ac:dyDescent="0.25">
      <c r="A204" t="s">
        <v>413</v>
      </c>
      <c r="B204">
        <v>38</v>
      </c>
      <c r="C204" t="s">
        <v>18</v>
      </c>
      <c r="D204" t="s">
        <v>19</v>
      </c>
      <c r="E204" t="s">
        <v>28</v>
      </c>
      <c r="F204" t="s">
        <v>59</v>
      </c>
      <c r="G204" t="s">
        <v>414</v>
      </c>
      <c r="H204">
        <v>0</v>
      </c>
      <c r="I204">
        <v>5930</v>
      </c>
      <c r="J204">
        <v>1</v>
      </c>
      <c r="K204" t="s">
        <v>36</v>
      </c>
      <c r="L204">
        <v>3</v>
      </c>
      <c r="M204">
        <v>3</v>
      </c>
      <c r="N204">
        <v>3</v>
      </c>
      <c r="O204">
        <v>3</v>
      </c>
      <c r="P204" t="s">
        <v>24</v>
      </c>
    </row>
    <row r="205" spans="1:16" x14ac:dyDescent="0.25">
      <c r="A205" t="s">
        <v>415</v>
      </c>
      <c r="B205">
        <v>30</v>
      </c>
      <c r="C205" t="s">
        <v>18</v>
      </c>
      <c r="D205" t="s">
        <v>33</v>
      </c>
      <c r="E205" t="s">
        <v>20</v>
      </c>
      <c r="F205" t="s">
        <v>44</v>
      </c>
      <c r="G205" t="s">
        <v>416</v>
      </c>
      <c r="H205">
        <v>2</v>
      </c>
      <c r="I205">
        <v>5222</v>
      </c>
      <c r="J205">
        <v>20</v>
      </c>
      <c r="K205" t="s">
        <v>36</v>
      </c>
      <c r="L205">
        <v>3</v>
      </c>
      <c r="M205">
        <v>3</v>
      </c>
      <c r="N205">
        <v>3</v>
      </c>
      <c r="O205">
        <v>2</v>
      </c>
      <c r="P205" t="s">
        <v>24</v>
      </c>
    </row>
    <row r="206" spans="1:16" x14ac:dyDescent="0.25">
      <c r="A206" t="s">
        <v>417</v>
      </c>
      <c r="B206">
        <v>29</v>
      </c>
      <c r="C206" t="s">
        <v>26</v>
      </c>
      <c r="D206" t="s">
        <v>33</v>
      </c>
      <c r="E206" t="s">
        <v>28</v>
      </c>
      <c r="F206" t="s">
        <v>59</v>
      </c>
      <c r="G206" t="s">
        <v>316</v>
      </c>
      <c r="H206">
        <v>0</v>
      </c>
      <c r="I206">
        <v>7319</v>
      </c>
      <c r="J206">
        <v>2</v>
      </c>
      <c r="K206" t="s">
        <v>36</v>
      </c>
      <c r="L206">
        <v>3</v>
      </c>
      <c r="M206">
        <v>4</v>
      </c>
      <c r="N206">
        <v>3</v>
      </c>
      <c r="O206">
        <v>0</v>
      </c>
      <c r="P206" t="s">
        <v>24</v>
      </c>
    </row>
    <row r="207" spans="1:16" x14ac:dyDescent="0.25">
      <c r="A207" t="s">
        <v>1155</v>
      </c>
      <c r="B207">
        <v>20</v>
      </c>
      <c r="C207" t="s">
        <v>18</v>
      </c>
      <c r="D207" t="s">
        <v>27</v>
      </c>
      <c r="E207" t="s">
        <v>110</v>
      </c>
      <c r="F207" t="s">
        <v>111</v>
      </c>
      <c r="G207" t="s">
        <v>1156</v>
      </c>
      <c r="H207">
        <v>1</v>
      </c>
      <c r="J207">
        <v>4</v>
      </c>
      <c r="K207" t="s">
        <v>24</v>
      </c>
      <c r="L207">
        <v>4</v>
      </c>
      <c r="M207">
        <v>4</v>
      </c>
      <c r="N207">
        <v>3</v>
      </c>
      <c r="O207">
        <v>4</v>
      </c>
      <c r="P207" t="s">
        <v>36</v>
      </c>
    </row>
    <row r="208" spans="1:16" x14ac:dyDescent="0.25">
      <c r="A208" t="s">
        <v>418</v>
      </c>
      <c r="B208">
        <v>43</v>
      </c>
      <c r="C208" t="s">
        <v>26</v>
      </c>
      <c r="D208" t="s">
        <v>33</v>
      </c>
      <c r="E208" t="s">
        <v>20</v>
      </c>
      <c r="F208" t="s">
        <v>21</v>
      </c>
      <c r="G208" t="s">
        <v>419</v>
      </c>
      <c r="H208">
        <v>5</v>
      </c>
      <c r="I208">
        <v>13099</v>
      </c>
      <c r="J208">
        <v>1</v>
      </c>
      <c r="K208" t="s">
        <v>36</v>
      </c>
      <c r="L208">
        <v>3</v>
      </c>
      <c r="M208">
        <v>4</v>
      </c>
      <c r="N208">
        <v>3</v>
      </c>
      <c r="O208">
        <v>5</v>
      </c>
      <c r="P208" t="s">
        <v>36</v>
      </c>
    </row>
    <row r="209" spans="1:16" x14ac:dyDescent="0.25">
      <c r="A209" t="s">
        <v>420</v>
      </c>
      <c r="B209">
        <v>29</v>
      </c>
      <c r="C209" t="s">
        <v>18</v>
      </c>
      <c r="D209" t="s">
        <v>33</v>
      </c>
      <c r="E209" t="s">
        <v>28</v>
      </c>
      <c r="F209" t="s">
        <v>59</v>
      </c>
      <c r="G209" t="s">
        <v>421</v>
      </c>
      <c r="H209">
        <v>5</v>
      </c>
      <c r="I209">
        <v>7594</v>
      </c>
      <c r="J209">
        <v>11</v>
      </c>
      <c r="K209" t="s">
        <v>36</v>
      </c>
      <c r="L209">
        <v>2</v>
      </c>
      <c r="M209">
        <v>4</v>
      </c>
      <c r="N209">
        <v>3</v>
      </c>
      <c r="O209">
        <v>1</v>
      </c>
      <c r="P209" t="s">
        <v>36</v>
      </c>
    </row>
    <row r="210" spans="1:16" x14ac:dyDescent="0.25">
      <c r="A210" t="s">
        <v>422</v>
      </c>
      <c r="B210">
        <v>29</v>
      </c>
      <c r="C210" t="s">
        <v>18</v>
      </c>
      <c r="D210" t="s">
        <v>33</v>
      </c>
      <c r="E210" t="s">
        <v>20</v>
      </c>
      <c r="F210" t="s">
        <v>40</v>
      </c>
      <c r="G210" t="s">
        <v>423</v>
      </c>
      <c r="H210">
        <v>0</v>
      </c>
      <c r="I210">
        <v>3575</v>
      </c>
      <c r="J210">
        <v>7</v>
      </c>
      <c r="K210" t="s">
        <v>36</v>
      </c>
      <c r="L210">
        <v>2</v>
      </c>
      <c r="M210">
        <v>2</v>
      </c>
      <c r="N210">
        <v>3</v>
      </c>
      <c r="O210">
        <v>4</v>
      </c>
      <c r="P210" t="s">
        <v>24</v>
      </c>
    </row>
    <row r="211" spans="1:16" x14ac:dyDescent="0.25">
      <c r="A211" t="s">
        <v>424</v>
      </c>
      <c r="B211">
        <v>30</v>
      </c>
      <c r="C211" t="s">
        <v>26</v>
      </c>
      <c r="D211" t="s">
        <v>33</v>
      </c>
      <c r="E211" t="s">
        <v>28</v>
      </c>
      <c r="F211" t="s">
        <v>59</v>
      </c>
      <c r="G211" t="s">
        <v>425</v>
      </c>
      <c r="H211">
        <v>0</v>
      </c>
      <c r="I211">
        <v>5978</v>
      </c>
      <c r="J211">
        <v>27</v>
      </c>
      <c r="K211" t="s">
        <v>24</v>
      </c>
      <c r="L211">
        <v>4</v>
      </c>
      <c r="M211">
        <v>3</v>
      </c>
      <c r="N211">
        <v>3</v>
      </c>
      <c r="O211">
        <v>1</v>
      </c>
      <c r="P211" t="s">
        <v>24</v>
      </c>
    </row>
    <row r="212" spans="1:16" x14ac:dyDescent="0.25">
      <c r="A212" t="s">
        <v>426</v>
      </c>
      <c r="B212">
        <v>37</v>
      </c>
      <c r="C212" t="s">
        <v>26</v>
      </c>
      <c r="D212" t="s">
        <v>19</v>
      </c>
      <c r="E212" t="s">
        <v>20</v>
      </c>
      <c r="F212" t="s">
        <v>21</v>
      </c>
      <c r="G212" t="s">
        <v>427</v>
      </c>
      <c r="H212">
        <v>9</v>
      </c>
      <c r="I212">
        <v>11390</v>
      </c>
      <c r="J212">
        <v>1</v>
      </c>
      <c r="K212" t="s">
        <v>24</v>
      </c>
      <c r="L212">
        <v>4</v>
      </c>
      <c r="M212">
        <v>2</v>
      </c>
      <c r="N212">
        <v>3</v>
      </c>
      <c r="O212">
        <v>1</v>
      </c>
      <c r="P212" t="s">
        <v>24</v>
      </c>
    </row>
    <row r="213" spans="1:16" x14ac:dyDescent="0.25">
      <c r="A213" t="s">
        <v>428</v>
      </c>
      <c r="B213">
        <v>33</v>
      </c>
      <c r="C213" t="s">
        <v>26</v>
      </c>
      <c r="D213" t="s">
        <v>19</v>
      </c>
      <c r="E213" t="s">
        <v>20</v>
      </c>
      <c r="F213" t="s">
        <v>44</v>
      </c>
      <c r="G213" t="s">
        <v>429</v>
      </c>
      <c r="H213">
        <v>0</v>
      </c>
      <c r="I213">
        <v>6527</v>
      </c>
      <c r="J213">
        <v>1</v>
      </c>
      <c r="K213" t="s">
        <v>36</v>
      </c>
      <c r="L213">
        <v>1</v>
      </c>
      <c r="M213">
        <v>3</v>
      </c>
      <c r="N213">
        <v>3</v>
      </c>
      <c r="O213">
        <v>4</v>
      </c>
      <c r="P213" t="s">
        <v>36</v>
      </c>
    </row>
    <row r="214" spans="1:16" x14ac:dyDescent="0.25">
      <c r="A214" t="s">
        <v>430</v>
      </c>
      <c r="B214">
        <v>29</v>
      </c>
      <c r="C214" t="s">
        <v>18</v>
      </c>
      <c r="D214" t="s">
        <v>19</v>
      </c>
      <c r="E214" t="s">
        <v>28</v>
      </c>
      <c r="F214" t="s">
        <v>34</v>
      </c>
      <c r="G214" t="s">
        <v>431</v>
      </c>
      <c r="H214">
        <v>0</v>
      </c>
      <c r="I214">
        <v>4056</v>
      </c>
      <c r="J214">
        <v>3</v>
      </c>
      <c r="K214" t="s">
        <v>24</v>
      </c>
      <c r="L214">
        <v>3</v>
      </c>
      <c r="M214">
        <v>3</v>
      </c>
      <c r="N214">
        <v>4</v>
      </c>
      <c r="O214">
        <v>4</v>
      </c>
      <c r="P214" t="s">
        <v>24</v>
      </c>
    </row>
    <row r="215" spans="1:16" x14ac:dyDescent="0.25">
      <c r="A215" t="s">
        <v>432</v>
      </c>
      <c r="B215">
        <v>37</v>
      </c>
      <c r="C215" t="s">
        <v>26</v>
      </c>
      <c r="D215" t="s">
        <v>27</v>
      </c>
      <c r="E215" t="s">
        <v>28</v>
      </c>
      <c r="F215" t="s">
        <v>34</v>
      </c>
      <c r="G215" t="s">
        <v>433</v>
      </c>
      <c r="H215">
        <v>1</v>
      </c>
      <c r="I215">
        <v>1966</v>
      </c>
      <c r="J215">
        <v>1</v>
      </c>
      <c r="K215" t="s">
        <v>24</v>
      </c>
      <c r="L215">
        <v>3</v>
      </c>
      <c r="M215">
        <v>4</v>
      </c>
      <c r="N215">
        <v>3</v>
      </c>
      <c r="O215">
        <v>2</v>
      </c>
      <c r="P215" t="s">
        <v>24</v>
      </c>
    </row>
    <row r="216" spans="1:16" x14ac:dyDescent="0.25">
      <c r="A216" t="s">
        <v>434</v>
      </c>
      <c r="B216">
        <v>41</v>
      </c>
      <c r="C216" t="s">
        <v>26</v>
      </c>
      <c r="D216" t="s">
        <v>33</v>
      </c>
      <c r="E216" t="s">
        <v>28</v>
      </c>
      <c r="F216" t="s">
        <v>59</v>
      </c>
      <c r="G216" t="s">
        <v>435</v>
      </c>
      <c r="H216">
        <v>0</v>
      </c>
      <c r="I216">
        <v>6588</v>
      </c>
      <c r="J216">
        <v>11</v>
      </c>
      <c r="K216" t="s">
        <v>24</v>
      </c>
      <c r="L216">
        <v>4</v>
      </c>
      <c r="M216">
        <v>2</v>
      </c>
      <c r="N216">
        <v>3</v>
      </c>
      <c r="O216">
        <v>3</v>
      </c>
      <c r="P216" t="s">
        <v>24</v>
      </c>
    </row>
    <row r="217" spans="1:16" x14ac:dyDescent="0.25">
      <c r="A217" t="s">
        <v>436</v>
      </c>
      <c r="B217">
        <v>43</v>
      </c>
      <c r="C217" t="s">
        <v>18</v>
      </c>
      <c r="D217" t="s">
        <v>27</v>
      </c>
      <c r="E217" t="s">
        <v>28</v>
      </c>
      <c r="F217" t="s">
        <v>59</v>
      </c>
      <c r="G217" t="s">
        <v>437</v>
      </c>
      <c r="H217">
        <v>3</v>
      </c>
      <c r="I217">
        <v>4063</v>
      </c>
      <c r="J217">
        <v>4</v>
      </c>
      <c r="K217" t="s">
        <v>24</v>
      </c>
      <c r="L217">
        <v>3</v>
      </c>
      <c r="M217">
        <v>3</v>
      </c>
      <c r="N217">
        <v>3</v>
      </c>
      <c r="O217">
        <v>1</v>
      </c>
      <c r="P217" t="s">
        <v>24</v>
      </c>
    </row>
    <row r="218" spans="1:16" x14ac:dyDescent="0.25">
      <c r="A218" t="s">
        <v>438</v>
      </c>
      <c r="B218">
        <v>39</v>
      </c>
      <c r="C218" t="s">
        <v>26</v>
      </c>
      <c r="D218" t="s">
        <v>33</v>
      </c>
      <c r="E218" t="s">
        <v>20</v>
      </c>
      <c r="F218" t="s">
        <v>40</v>
      </c>
      <c r="G218" t="s">
        <v>439</v>
      </c>
      <c r="H218">
        <v>5</v>
      </c>
      <c r="I218">
        <v>3530</v>
      </c>
      <c r="J218">
        <v>4</v>
      </c>
      <c r="K218" t="s">
        <v>36</v>
      </c>
      <c r="L218">
        <v>3</v>
      </c>
      <c r="M218">
        <v>2</v>
      </c>
      <c r="N218">
        <v>3</v>
      </c>
      <c r="O218">
        <v>2</v>
      </c>
      <c r="P218" t="s">
        <v>24</v>
      </c>
    </row>
    <row r="219" spans="1:16" x14ac:dyDescent="0.25">
      <c r="A219" t="s">
        <v>440</v>
      </c>
      <c r="B219">
        <v>36</v>
      </c>
      <c r="C219" t="s">
        <v>18</v>
      </c>
      <c r="D219" t="s">
        <v>33</v>
      </c>
      <c r="E219" t="s">
        <v>110</v>
      </c>
      <c r="F219" t="s">
        <v>111</v>
      </c>
      <c r="G219" t="s">
        <v>441</v>
      </c>
      <c r="H219">
        <v>0</v>
      </c>
      <c r="I219">
        <v>4984</v>
      </c>
      <c r="J219">
        <v>5</v>
      </c>
      <c r="K219" t="s">
        <v>24</v>
      </c>
      <c r="L219">
        <v>3</v>
      </c>
      <c r="M219">
        <v>4</v>
      </c>
      <c r="N219">
        <v>3</v>
      </c>
      <c r="O219">
        <v>5</v>
      </c>
      <c r="P219" t="s">
        <v>36</v>
      </c>
    </row>
    <row r="220" spans="1:16" x14ac:dyDescent="0.25">
      <c r="A220" t="s">
        <v>442</v>
      </c>
      <c r="B220">
        <v>20</v>
      </c>
      <c r="C220" t="s">
        <v>18</v>
      </c>
      <c r="D220" t="s">
        <v>33</v>
      </c>
      <c r="E220" t="s">
        <v>28</v>
      </c>
      <c r="F220" t="s">
        <v>59</v>
      </c>
      <c r="G220" t="s">
        <v>443</v>
      </c>
      <c r="H220">
        <v>0</v>
      </c>
      <c r="I220">
        <v>5783</v>
      </c>
      <c r="J220">
        <v>15</v>
      </c>
      <c r="K220" t="s">
        <v>24</v>
      </c>
      <c r="L220">
        <v>1</v>
      </c>
      <c r="M220">
        <v>1</v>
      </c>
      <c r="N220">
        <v>3</v>
      </c>
      <c r="O220">
        <v>1</v>
      </c>
      <c r="P220" t="s">
        <v>24</v>
      </c>
    </row>
    <row r="221" spans="1:16" x14ac:dyDescent="0.25">
      <c r="A221" t="s">
        <v>1157</v>
      </c>
      <c r="B221">
        <v>20</v>
      </c>
      <c r="C221" t="s">
        <v>26</v>
      </c>
      <c r="D221" t="s">
        <v>19</v>
      </c>
      <c r="E221" t="s">
        <v>28</v>
      </c>
      <c r="F221" t="s">
        <v>34</v>
      </c>
      <c r="G221" t="s">
        <v>421</v>
      </c>
      <c r="H221">
        <v>5</v>
      </c>
      <c r="I221">
        <v>3556</v>
      </c>
      <c r="J221">
        <v>6</v>
      </c>
      <c r="K221" t="s">
        <v>24</v>
      </c>
      <c r="L221">
        <v>2</v>
      </c>
      <c r="N221">
        <v>3</v>
      </c>
      <c r="O221">
        <v>3</v>
      </c>
      <c r="P221" t="s">
        <v>24</v>
      </c>
    </row>
    <row r="222" spans="1:16" x14ac:dyDescent="0.25">
      <c r="A222" t="s">
        <v>444</v>
      </c>
      <c r="B222">
        <v>29</v>
      </c>
      <c r="C222" t="s">
        <v>18</v>
      </c>
      <c r="D222" t="s">
        <v>19</v>
      </c>
      <c r="E222" t="s">
        <v>28</v>
      </c>
      <c r="F222" t="s">
        <v>64</v>
      </c>
      <c r="G222" t="s">
        <v>445</v>
      </c>
      <c r="H222">
        <v>2</v>
      </c>
      <c r="I222">
        <v>4409</v>
      </c>
      <c r="J222">
        <v>3</v>
      </c>
      <c r="K222" t="s">
        <v>24</v>
      </c>
      <c r="L222">
        <v>3</v>
      </c>
      <c r="M222">
        <v>3</v>
      </c>
      <c r="N222">
        <v>3</v>
      </c>
      <c r="O222">
        <v>4</v>
      </c>
      <c r="P222" t="s">
        <v>24</v>
      </c>
    </row>
    <row r="223" spans="1:16" x14ac:dyDescent="0.25">
      <c r="A223" t="s">
        <v>1158</v>
      </c>
      <c r="B223">
        <v>38</v>
      </c>
      <c r="C223" t="s">
        <v>26</v>
      </c>
      <c r="D223" t="s">
        <v>33</v>
      </c>
      <c r="E223" t="s">
        <v>28</v>
      </c>
      <c r="F223" t="s">
        <v>34</v>
      </c>
      <c r="G223" t="s">
        <v>1159</v>
      </c>
      <c r="H223">
        <v>1</v>
      </c>
      <c r="I223">
        <v>2856</v>
      </c>
      <c r="J223">
        <v>10</v>
      </c>
      <c r="K223" t="s">
        <v>24</v>
      </c>
      <c r="M223">
        <v>3</v>
      </c>
      <c r="N223">
        <v>3</v>
      </c>
      <c r="O223">
        <v>2</v>
      </c>
      <c r="P223" t="s">
        <v>24</v>
      </c>
    </row>
    <row r="224" spans="1:16" x14ac:dyDescent="0.25">
      <c r="A224" t="s">
        <v>446</v>
      </c>
      <c r="B224">
        <v>27</v>
      </c>
      <c r="C224" t="s">
        <v>26</v>
      </c>
      <c r="D224" t="s">
        <v>27</v>
      </c>
      <c r="E224" t="s">
        <v>28</v>
      </c>
      <c r="F224" t="s">
        <v>34</v>
      </c>
      <c r="G224" t="s">
        <v>447</v>
      </c>
      <c r="H224">
        <v>0</v>
      </c>
      <c r="I224">
        <v>3203</v>
      </c>
      <c r="J224">
        <v>15</v>
      </c>
      <c r="K224" t="s">
        <v>24</v>
      </c>
      <c r="L224">
        <v>4</v>
      </c>
      <c r="M224">
        <v>4</v>
      </c>
      <c r="N224">
        <v>3</v>
      </c>
      <c r="O224">
        <v>2</v>
      </c>
      <c r="P224" t="s">
        <v>24</v>
      </c>
    </row>
    <row r="225" spans="1:16" x14ac:dyDescent="0.25">
      <c r="A225" t="s">
        <v>448</v>
      </c>
      <c r="B225">
        <v>36</v>
      </c>
      <c r="C225" t="s">
        <v>18</v>
      </c>
      <c r="D225" t="s">
        <v>19</v>
      </c>
      <c r="E225" t="s">
        <v>20</v>
      </c>
      <c r="F225" t="s">
        <v>44</v>
      </c>
      <c r="G225" t="s">
        <v>449</v>
      </c>
      <c r="H225">
        <v>0</v>
      </c>
      <c r="I225">
        <v>6292</v>
      </c>
      <c r="J225">
        <v>1</v>
      </c>
      <c r="K225" t="s">
        <v>24</v>
      </c>
      <c r="L225">
        <v>2</v>
      </c>
      <c r="M225">
        <v>3</v>
      </c>
      <c r="N225">
        <v>3</v>
      </c>
      <c r="O225">
        <v>4</v>
      </c>
      <c r="P225" t="s">
        <v>24</v>
      </c>
    </row>
    <row r="226" spans="1:16" x14ac:dyDescent="0.25">
      <c r="A226" t="s">
        <v>450</v>
      </c>
      <c r="B226">
        <v>46</v>
      </c>
      <c r="C226" t="s">
        <v>18</v>
      </c>
      <c r="D226" t="s">
        <v>19</v>
      </c>
      <c r="E226" t="s">
        <v>28</v>
      </c>
      <c r="F226" t="s">
        <v>34</v>
      </c>
      <c r="G226" t="s">
        <v>330</v>
      </c>
      <c r="H226">
        <v>1</v>
      </c>
      <c r="I226">
        <v>3834</v>
      </c>
      <c r="J226">
        <v>1</v>
      </c>
      <c r="K226" t="s">
        <v>36</v>
      </c>
      <c r="L226">
        <v>4</v>
      </c>
      <c r="M226">
        <v>1</v>
      </c>
      <c r="N226">
        <v>3</v>
      </c>
      <c r="O226">
        <v>1</v>
      </c>
      <c r="P226" t="s">
        <v>24</v>
      </c>
    </row>
    <row r="227" spans="1:16" x14ac:dyDescent="0.25">
      <c r="A227" t="s">
        <v>451</v>
      </c>
      <c r="B227">
        <v>44</v>
      </c>
      <c r="C227" t="s">
        <v>26</v>
      </c>
      <c r="D227" t="s">
        <v>19</v>
      </c>
      <c r="E227" t="s">
        <v>20</v>
      </c>
      <c r="F227" t="s">
        <v>44</v>
      </c>
      <c r="G227" t="s">
        <v>452</v>
      </c>
      <c r="H227">
        <v>3</v>
      </c>
      <c r="I227">
        <v>5813</v>
      </c>
      <c r="J227">
        <v>15</v>
      </c>
      <c r="K227" t="s">
        <v>24</v>
      </c>
      <c r="L227">
        <v>2</v>
      </c>
      <c r="M227">
        <v>3</v>
      </c>
      <c r="N227">
        <v>3</v>
      </c>
      <c r="O227">
        <v>4</v>
      </c>
      <c r="P227" t="s">
        <v>24</v>
      </c>
    </row>
    <row r="228" spans="1:16" x14ac:dyDescent="0.25">
      <c r="A228" t="s">
        <v>453</v>
      </c>
      <c r="B228">
        <v>30</v>
      </c>
      <c r="C228" t="s">
        <v>18</v>
      </c>
      <c r="D228" t="s">
        <v>33</v>
      </c>
      <c r="E228" t="s">
        <v>28</v>
      </c>
      <c r="F228" t="s">
        <v>34</v>
      </c>
      <c r="G228" t="s">
        <v>454</v>
      </c>
      <c r="H228">
        <v>1</v>
      </c>
      <c r="I228">
        <v>3541</v>
      </c>
      <c r="J228">
        <v>1</v>
      </c>
      <c r="K228" t="s">
        <v>24</v>
      </c>
      <c r="L228">
        <v>3</v>
      </c>
      <c r="M228">
        <v>3</v>
      </c>
      <c r="N228">
        <v>3</v>
      </c>
      <c r="O228">
        <v>3</v>
      </c>
      <c r="P228" t="s">
        <v>24</v>
      </c>
    </row>
    <row r="229" spans="1:16" x14ac:dyDescent="0.25">
      <c r="A229" t="s">
        <v>455</v>
      </c>
      <c r="B229">
        <v>25</v>
      </c>
      <c r="C229" t="s">
        <v>26</v>
      </c>
      <c r="D229" t="s">
        <v>27</v>
      </c>
      <c r="E229" t="s">
        <v>110</v>
      </c>
      <c r="F229" t="s">
        <v>189</v>
      </c>
      <c r="G229" t="s">
        <v>456</v>
      </c>
      <c r="H229">
        <v>1</v>
      </c>
      <c r="I229">
        <v>5048</v>
      </c>
      <c r="J229">
        <v>4</v>
      </c>
      <c r="K229" t="s">
        <v>36</v>
      </c>
      <c r="L229">
        <v>4</v>
      </c>
      <c r="M229">
        <v>1</v>
      </c>
      <c r="N229">
        <v>3</v>
      </c>
      <c r="O229">
        <v>3</v>
      </c>
      <c r="P229" t="s">
        <v>36</v>
      </c>
    </row>
    <row r="230" spans="1:16" x14ac:dyDescent="0.25">
      <c r="A230" t="s">
        <v>457</v>
      </c>
      <c r="B230">
        <v>31</v>
      </c>
      <c r="C230" t="s">
        <v>18</v>
      </c>
      <c r="D230" t="s">
        <v>33</v>
      </c>
      <c r="E230" t="s">
        <v>28</v>
      </c>
      <c r="F230" t="s">
        <v>34</v>
      </c>
      <c r="G230" t="s">
        <v>458</v>
      </c>
      <c r="H230">
        <v>1</v>
      </c>
      <c r="I230">
        <v>2493</v>
      </c>
      <c r="J230">
        <v>8</v>
      </c>
      <c r="K230" t="s">
        <v>24</v>
      </c>
      <c r="L230">
        <v>3</v>
      </c>
      <c r="M230">
        <v>4</v>
      </c>
      <c r="N230">
        <v>4</v>
      </c>
      <c r="O230">
        <v>0</v>
      </c>
      <c r="P230" t="s">
        <v>24</v>
      </c>
    </row>
    <row r="231" spans="1:16" x14ac:dyDescent="0.25">
      <c r="A231" t="s">
        <v>459</v>
      </c>
      <c r="B231">
        <v>38</v>
      </c>
      <c r="C231" t="s">
        <v>18</v>
      </c>
      <c r="D231" t="s">
        <v>27</v>
      </c>
      <c r="E231" t="s">
        <v>28</v>
      </c>
      <c r="F231" t="s">
        <v>59</v>
      </c>
      <c r="G231" t="s">
        <v>460</v>
      </c>
      <c r="H231">
        <v>3</v>
      </c>
      <c r="I231">
        <v>7292</v>
      </c>
      <c r="J231">
        <v>12</v>
      </c>
      <c r="K231" t="s">
        <v>24</v>
      </c>
      <c r="L231">
        <v>2</v>
      </c>
      <c r="M231">
        <v>4</v>
      </c>
      <c r="N231">
        <v>3</v>
      </c>
      <c r="O231">
        <v>3</v>
      </c>
      <c r="P231" t="s">
        <v>24</v>
      </c>
    </row>
    <row r="232" spans="1:16" x14ac:dyDescent="0.25">
      <c r="A232" t="s">
        <v>461</v>
      </c>
      <c r="B232">
        <v>27</v>
      </c>
      <c r="C232" t="s">
        <v>18</v>
      </c>
      <c r="D232" t="s">
        <v>33</v>
      </c>
      <c r="E232" t="s">
        <v>20</v>
      </c>
      <c r="F232" t="s">
        <v>40</v>
      </c>
      <c r="G232" t="s">
        <v>462</v>
      </c>
      <c r="H232">
        <v>4</v>
      </c>
      <c r="I232">
        <v>3951</v>
      </c>
      <c r="J232">
        <v>11</v>
      </c>
      <c r="K232" t="s">
        <v>24</v>
      </c>
      <c r="L232">
        <v>1</v>
      </c>
      <c r="M232">
        <v>1</v>
      </c>
      <c r="N232">
        <v>3</v>
      </c>
      <c r="O232">
        <v>1</v>
      </c>
      <c r="P232" t="s">
        <v>36</v>
      </c>
    </row>
    <row r="233" spans="1:16" x14ac:dyDescent="0.25">
      <c r="A233" t="s">
        <v>463</v>
      </c>
      <c r="B233">
        <v>41</v>
      </c>
      <c r="C233" t="s">
        <v>26</v>
      </c>
      <c r="D233" t="s">
        <v>19</v>
      </c>
      <c r="E233" t="s">
        <v>28</v>
      </c>
      <c r="F233" t="s">
        <v>29</v>
      </c>
      <c r="G233" t="s">
        <v>464</v>
      </c>
      <c r="H233">
        <v>6</v>
      </c>
      <c r="I233">
        <v>13569</v>
      </c>
      <c r="J233">
        <v>5</v>
      </c>
      <c r="K233" t="s">
        <v>24</v>
      </c>
      <c r="L233">
        <v>2</v>
      </c>
      <c r="M233">
        <v>2</v>
      </c>
      <c r="N233">
        <v>3</v>
      </c>
      <c r="O233">
        <v>4</v>
      </c>
      <c r="P233" t="s">
        <v>24</v>
      </c>
    </row>
    <row r="234" spans="1:16" x14ac:dyDescent="0.25">
      <c r="A234" t="s">
        <v>465</v>
      </c>
      <c r="B234">
        <v>29</v>
      </c>
      <c r="C234" t="s">
        <v>18</v>
      </c>
      <c r="D234" t="s">
        <v>33</v>
      </c>
      <c r="E234" t="s">
        <v>28</v>
      </c>
      <c r="F234" t="s">
        <v>64</v>
      </c>
      <c r="G234" t="s">
        <v>466</v>
      </c>
      <c r="H234">
        <v>0</v>
      </c>
      <c r="I234">
        <v>4385</v>
      </c>
      <c r="J234">
        <v>4</v>
      </c>
      <c r="K234" t="s">
        <v>36</v>
      </c>
      <c r="L234">
        <v>3</v>
      </c>
      <c r="M234">
        <v>3</v>
      </c>
      <c r="N234">
        <v>3</v>
      </c>
      <c r="O234">
        <v>1</v>
      </c>
      <c r="P234" t="s">
        <v>36</v>
      </c>
    </row>
    <row r="235" spans="1:16" x14ac:dyDescent="0.25">
      <c r="A235" t="s">
        <v>467</v>
      </c>
      <c r="B235">
        <v>39</v>
      </c>
      <c r="C235" t="s">
        <v>18</v>
      </c>
      <c r="D235" t="s">
        <v>19</v>
      </c>
      <c r="E235" t="s">
        <v>28</v>
      </c>
      <c r="F235" t="s">
        <v>34</v>
      </c>
      <c r="G235" t="s">
        <v>468</v>
      </c>
      <c r="H235">
        <v>4</v>
      </c>
      <c r="I235">
        <v>3854</v>
      </c>
      <c r="J235">
        <v>9</v>
      </c>
      <c r="K235" t="s">
        <v>24</v>
      </c>
      <c r="L235">
        <v>3</v>
      </c>
      <c r="M235">
        <v>2</v>
      </c>
      <c r="N235">
        <v>3</v>
      </c>
      <c r="O235">
        <v>2</v>
      </c>
      <c r="P235" t="s">
        <v>36</v>
      </c>
    </row>
    <row r="236" spans="1:16" x14ac:dyDescent="0.25">
      <c r="A236" t="s">
        <v>469</v>
      </c>
      <c r="B236">
        <v>38</v>
      </c>
      <c r="C236" t="s">
        <v>18</v>
      </c>
      <c r="D236" t="s">
        <v>33</v>
      </c>
      <c r="E236" t="s">
        <v>28</v>
      </c>
      <c r="F236" t="s">
        <v>29</v>
      </c>
      <c r="G236" t="s">
        <v>470</v>
      </c>
      <c r="H236">
        <v>7</v>
      </c>
      <c r="I236">
        <v>13300</v>
      </c>
      <c r="J236">
        <v>4</v>
      </c>
      <c r="K236" t="s">
        <v>24</v>
      </c>
      <c r="L236">
        <v>2</v>
      </c>
      <c r="M236">
        <v>3</v>
      </c>
      <c r="N236">
        <v>3</v>
      </c>
      <c r="O236">
        <v>4</v>
      </c>
      <c r="P236" t="s">
        <v>24</v>
      </c>
    </row>
    <row r="237" spans="1:16" x14ac:dyDescent="0.25">
      <c r="A237" t="s">
        <v>1160</v>
      </c>
      <c r="B237">
        <v>20</v>
      </c>
      <c r="C237" t="s">
        <v>26</v>
      </c>
      <c r="D237" t="s">
        <v>19</v>
      </c>
      <c r="E237" t="s">
        <v>28</v>
      </c>
      <c r="F237" t="s">
        <v>34</v>
      </c>
      <c r="G237" t="s">
        <v>1161</v>
      </c>
      <c r="H237">
        <v>0</v>
      </c>
      <c r="I237">
        <v>3278</v>
      </c>
      <c r="J237">
        <v>18</v>
      </c>
      <c r="K237" t="s">
        <v>24</v>
      </c>
      <c r="M237">
        <v>4</v>
      </c>
      <c r="N237">
        <v>3</v>
      </c>
      <c r="O237">
        <v>1</v>
      </c>
      <c r="P237" t="s">
        <v>24</v>
      </c>
    </row>
    <row r="238" spans="1:16" x14ac:dyDescent="0.25">
      <c r="A238" t="s">
        <v>1162</v>
      </c>
      <c r="B238">
        <v>28</v>
      </c>
      <c r="C238" t="s">
        <v>18</v>
      </c>
      <c r="D238" t="s">
        <v>27</v>
      </c>
      <c r="E238" t="s">
        <v>28</v>
      </c>
      <c r="F238" t="s">
        <v>34</v>
      </c>
      <c r="G238" t="s">
        <v>1163</v>
      </c>
      <c r="H238">
        <v>2</v>
      </c>
      <c r="I238">
        <v>2220</v>
      </c>
      <c r="J238">
        <v>21</v>
      </c>
      <c r="K238" t="s">
        <v>36</v>
      </c>
      <c r="L238">
        <v>3</v>
      </c>
      <c r="N238">
        <v>3</v>
      </c>
      <c r="O238">
        <v>0</v>
      </c>
      <c r="P238" t="s">
        <v>24</v>
      </c>
    </row>
    <row r="239" spans="1:16" x14ac:dyDescent="0.25">
      <c r="A239" t="s">
        <v>471</v>
      </c>
      <c r="B239">
        <v>33</v>
      </c>
      <c r="C239" t="s">
        <v>18</v>
      </c>
      <c r="D239" t="s">
        <v>33</v>
      </c>
      <c r="E239" t="s">
        <v>20</v>
      </c>
      <c r="F239" t="s">
        <v>44</v>
      </c>
      <c r="G239" t="s">
        <v>472</v>
      </c>
      <c r="H239">
        <v>7</v>
      </c>
      <c r="I239">
        <v>8399</v>
      </c>
      <c r="J239">
        <v>12</v>
      </c>
      <c r="K239" t="s">
        <v>24</v>
      </c>
      <c r="L239">
        <v>4</v>
      </c>
      <c r="M239">
        <v>2</v>
      </c>
      <c r="N239">
        <v>3</v>
      </c>
      <c r="O239">
        <v>0</v>
      </c>
      <c r="P239" t="s">
        <v>24</v>
      </c>
    </row>
    <row r="240" spans="1:16" x14ac:dyDescent="0.25">
      <c r="A240" t="s">
        <v>473</v>
      </c>
      <c r="B240">
        <v>43</v>
      </c>
      <c r="C240" t="s">
        <v>26</v>
      </c>
      <c r="D240" t="s">
        <v>33</v>
      </c>
      <c r="E240" t="s">
        <v>28</v>
      </c>
      <c r="F240" t="s">
        <v>59</v>
      </c>
      <c r="G240" t="s">
        <v>356</v>
      </c>
      <c r="H240">
        <v>2</v>
      </c>
      <c r="I240">
        <v>5125</v>
      </c>
      <c r="J240">
        <v>11</v>
      </c>
      <c r="K240" t="s">
        <v>36</v>
      </c>
      <c r="L240">
        <v>3</v>
      </c>
      <c r="M240">
        <v>1</v>
      </c>
      <c r="N240">
        <v>3</v>
      </c>
      <c r="O240">
        <v>2</v>
      </c>
      <c r="P240" t="s">
        <v>36</v>
      </c>
    </row>
    <row r="241" spans="1:16" x14ac:dyDescent="0.25">
      <c r="A241" t="s">
        <v>474</v>
      </c>
      <c r="B241">
        <v>35</v>
      </c>
      <c r="C241" t="s">
        <v>26</v>
      </c>
      <c r="D241" t="s">
        <v>33</v>
      </c>
      <c r="E241" t="s">
        <v>1154</v>
      </c>
      <c r="F241" t="s">
        <v>29</v>
      </c>
      <c r="G241" t="s">
        <v>475</v>
      </c>
      <c r="H241">
        <v>2</v>
      </c>
      <c r="I241">
        <v>13416</v>
      </c>
      <c r="J241">
        <v>7</v>
      </c>
      <c r="K241" t="s">
        <v>24</v>
      </c>
      <c r="L241">
        <v>3</v>
      </c>
      <c r="M241">
        <v>1</v>
      </c>
      <c r="N241">
        <v>3</v>
      </c>
      <c r="O241">
        <v>0</v>
      </c>
      <c r="P241" t="s">
        <v>24</v>
      </c>
    </row>
    <row r="242" spans="1:16" x14ac:dyDescent="0.25">
      <c r="A242" t="s">
        <v>476</v>
      </c>
      <c r="B242">
        <v>29</v>
      </c>
      <c r="C242" t="s">
        <v>26</v>
      </c>
      <c r="D242" t="s">
        <v>33</v>
      </c>
      <c r="E242" t="s">
        <v>28</v>
      </c>
      <c r="F242" t="s">
        <v>34</v>
      </c>
      <c r="G242" t="s">
        <v>332</v>
      </c>
      <c r="H242">
        <v>1</v>
      </c>
      <c r="I242">
        <v>3145</v>
      </c>
      <c r="J242">
        <v>8</v>
      </c>
      <c r="K242" t="s">
        <v>24</v>
      </c>
      <c r="L242">
        <v>4</v>
      </c>
      <c r="M242">
        <v>2</v>
      </c>
      <c r="N242">
        <v>3</v>
      </c>
      <c r="O242">
        <v>1</v>
      </c>
      <c r="P242" t="s">
        <v>24</v>
      </c>
    </row>
    <row r="243" spans="1:16" x14ac:dyDescent="0.25">
      <c r="A243" t="s">
        <v>477</v>
      </c>
      <c r="B243">
        <v>28</v>
      </c>
      <c r="C243" t="s">
        <v>18</v>
      </c>
      <c r="D243" t="s">
        <v>27</v>
      </c>
      <c r="E243" t="s">
        <v>20</v>
      </c>
      <c r="F243" t="s">
        <v>44</v>
      </c>
      <c r="G243" t="s">
        <v>478</v>
      </c>
      <c r="H243">
        <v>0</v>
      </c>
      <c r="I243">
        <v>6410</v>
      </c>
      <c r="J243">
        <v>13</v>
      </c>
      <c r="K243" t="s">
        <v>36</v>
      </c>
      <c r="L243">
        <v>3</v>
      </c>
      <c r="M243">
        <v>4</v>
      </c>
      <c r="N243">
        <v>3</v>
      </c>
      <c r="O243">
        <v>1</v>
      </c>
      <c r="P243" t="s">
        <v>24</v>
      </c>
    </row>
    <row r="244" spans="1:16" x14ac:dyDescent="0.25">
      <c r="A244" t="s">
        <v>479</v>
      </c>
      <c r="B244">
        <v>20</v>
      </c>
      <c r="C244" t="s">
        <v>26</v>
      </c>
      <c r="D244" t="s">
        <v>33</v>
      </c>
      <c r="E244" t="s">
        <v>20</v>
      </c>
      <c r="F244" t="s">
        <v>44</v>
      </c>
      <c r="G244" t="s">
        <v>185</v>
      </c>
      <c r="H244">
        <v>2</v>
      </c>
      <c r="I244">
        <v>6374</v>
      </c>
      <c r="J244">
        <v>5</v>
      </c>
      <c r="K244" t="s">
        <v>24</v>
      </c>
      <c r="L244">
        <v>4</v>
      </c>
      <c r="M244">
        <v>1</v>
      </c>
      <c r="N244">
        <v>3</v>
      </c>
      <c r="O244">
        <v>5</v>
      </c>
      <c r="P244" t="s">
        <v>36</v>
      </c>
    </row>
    <row r="245" spans="1:16" x14ac:dyDescent="0.25">
      <c r="A245" t="s">
        <v>480</v>
      </c>
      <c r="B245">
        <v>51</v>
      </c>
      <c r="C245" t="s">
        <v>26</v>
      </c>
      <c r="D245" t="s">
        <v>27</v>
      </c>
      <c r="E245" t="s">
        <v>110</v>
      </c>
      <c r="F245" t="s">
        <v>128</v>
      </c>
      <c r="G245" t="s">
        <v>264</v>
      </c>
      <c r="H245">
        <v>0</v>
      </c>
      <c r="I245">
        <v>12087</v>
      </c>
      <c r="J245">
        <v>2</v>
      </c>
      <c r="K245" t="s">
        <v>24</v>
      </c>
      <c r="L245">
        <v>2</v>
      </c>
      <c r="M245">
        <v>3</v>
      </c>
      <c r="N245">
        <v>3</v>
      </c>
      <c r="O245">
        <v>1</v>
      </c>
      <c r="P245" t="s">
        <v>24</v>
      </c>
    </row>
    <row r="246" spans="1:16" x14ac:dyDescent="0.25">
      <c r="A246" t="s">
        <v>481</v>
      </c>
      <c r="B246">
        <v>33</v>
      </c>
      <c r="C246" t="s">
        <v>26</v>
      </c>
      <c r="D246" t="s">
        <v>19</v>
      </c>
      <c r="E246" t="s">
        <v>28</v>
      </c>
      <c r="F246" t="s">
        <v>34</v>
      </c>
      <c r="G246" t="s">
        <v>482</v>
      </c>
      <c r="H246">
        <v>4</v>
      </c>
      <c r="I246">
        <v>3179</v>
      </c>
      <c r="J246">
        <v>2</v>
      </c>
      <c r="K246" t="s">
        <v>36</v>
      </c>
      <c r="L246">
        <v>4</v>
      </c>
      <c r="M246">
        <v>3</v>
      </c>
      <c r="N246">
        <v>4</v>
      </c>
      <c r="O246">
        <v>5</v>
      </c>
      <c r="P246" t="s">
        <v>36</v>
      </c>
    </row>
    <row r="247" spans="1:16" x14ac:dyDescent="0.25">
      <c r="A247" t="s">
        <v>483</v>
      </c>
      <c r="B247">
        <v>44</v>
      </c>
      <c r="C247" t="s">
        <v>26</v>
      </c>
      <c r="D247" t="s">
        <v>19</v>
      </c>
      <c r="E247" t="s">
        <v>28</v>
      </c>
      <c r="F247" t="s">
        <v>34</v>
      </c>
      <c r="G247" t="s">
        <v>230</v>
      </c>
      <c r="H247">
        <v>2</v>
      </c>
      <c r="I247">
        <v>4111</v>
      </c>
      <c r="J247">
        <v>2</v>
      </c>
      <c r="K247" t="s">
        <v>24</v>
      </c>
      <c r="L247">
        <v>4</v>
      </c>
      <c r="M247">
        <v>4</v>
      </c>
      <c r="N247">
        <v>3</v>
      </c>
      <c r="O247">
        <v>5</v>
      </c>
      <c r="P247" t="s">
        <v>24</v>
      </c>
    </row>
    <row r="248" spans="1:16" x14ac:dyDescent="0.25">
      <c r="A248" t="s">
        <v>484</v>
      </c>
      <c r="B248">
        <v>36</v>
      </c>
      <c r="C248" t="s">
        <v>18</v>
      </c>
      <c r="D248" t="s">
        <v>33</v>
      </c>
      <c r="E248" t="s">
        <v>28</v>
      </c>
      <c r="F248" t="s">
        <v>64</v>
      </c>
      <c r="G248" t="s">
        <v>485</v>
      </c>
      <c r="H248">
        <v>7</v>
      </c>
      <c r="I248">
        <v>4410</v>
      </c>
      <c r="J248">
        <v>2</v>
      </c>
      <c r="K248" t="s">
        <v>24</v>
      </c>
      <c r="L248">
        <v>3</v>
      </c>
      <c r="M248">
        <v>2</v>
      </c>
      <c r="N248">
        <v>3</v>
      </c>
      <c r="O248">
        <v>5</v>
      </c>
      <c r="P248" t="s">
        <v>24</v>
      </c>
    </row>
    <row r="249" spans="1:16" x14ac:dyDescent="0.25">
      <c r="A249" t="s">
        <v>486</v>
      </c>
      <c r="B249">
        <v>23</v>
      </c>
      <c r="C249" t="s">
        <v>26</v>
      </c>
      <c r="D249" t="s">
        <v>33</v>
      </c>
      <c r="E249" t="s">
        <v>28</v>
      </c>
      <c r="F249" t="s">
        <v>29</v>
      </c>
      <c r="G249" t="s">
        <v>487</v>
      </c>
      <c r="H249">
        <v>4</v>
      </c>
      <c r="I249">
        <v>14370</v>
      </c>
      <c r="J249">
        <v>2</v>
      </c>
      <c r="K249" t="s">
        <v>24</v>
      </c>
      <c r="L249">
        <v>3</v>
      </c>
      <c r="M249">
        <v>3</v>
      </c>
      <c r="N249">
        <v>3</v>
      </c>
      <c r="O249">
        <v>0</v>
      </c>
      <c r="P249" t="s">
        <v>24</v>
      </c>
    </row>
    <row r="250" spans="1:16" x14ac:dyDescent="0.25">
      <c r="A250" t="s">
        <v>488</v>
      </c>
      <c r="B250">
        <v>36</v>
      </c>
      <c r="C250" t="s">
        <v>18</v>
      </c>
      <c r="D250" t="s">
        <v>27</v>
      </c>
      <c r="E250" t="s">
        <v>20</v>
      </c>
      <c r="F250" t="s">
        <v>21</v>
      </c>
      <c r="G250" t="s">
        <v>489</v>
      </c>
      <c r="H250">
        <v>4</v>
      </c>
      <c r="I250">
        <v>14164</v>
      </c>
      <c r="J250">
        <v>1</v>
      </c>
      <c r="K250" t="s">
        <v>24</v>
      </c>
      <c r="L250">
        <v>2</v>
      </c>
      <c r="M250">
        <v>2</v>
      </c>
      <c r="N250">
        <v>3</v>
      </c>
      <c r="O250">
        <v>4</v>
      </c>
      <c r="P250" t="s">
        <v>24</v>
      </c>
    </row>
    <row r="251" spans="1:16" x14ac:dyDescent="0.25">
      <c r="A251" t="s">
        <v>490</v>
      </c>
      <c r="B251">
        <v>26</v>
      </c>
      <c r="C251" t="s">
        <v>18</v>
      </c>
      <c r="D251" t="s">
        <v>19</v>
      </c>
      <c r="E251" t="s">
        <v>20</v>
      </c>
      <c r="F251" t="s">
        <v>21</v>
      </c>
      <c r="G251" t="s">
        <v>491</v>
      </c>
      <c r="H251">
        <v>12</v>
      </c>
      <c r="I251">
        <v>13845</v>
      </c>
      <c r="J251">
        <v>13</v>
      </c>
      <c r="K251" t="s">
        <v>36</v>
      </c>
      <c r="L251">
        <v>2</v>
      </c>
      <c r="M251">
        <v>4</v>
      </c>
      <c r="N251">
        <v>3</v>
      </c>
      <c r="O251">
        <v>3</v>
      </c>
      <c r="P251" t="s">
        <v>36</v>
      </c>
    </row>
    <row r="252" spans="1:16" x14ac:dyDescent="0.25">
      <c r="A252" t="s">
        <v>492</v>
      </c>
      <c r="B252">
        <v>46</v>
      </c>
      <c r="C252" t="s">
        <v>18</v>
      </c>
      <c r="D252" t="s">
        <v>33</v>
      </c>
      <c r="E252" t="s">
        <v>28</v>
      </c>
      <c r="F252" t="s">
        <v>64</v>
      </c>
      <c r="G252" t="s">
        <v>493</v>
      </c>
      <c r="H252">
        <v>1</v>
      </c>
      <c r="I252">
        <v>6276</v>
      </c>
      <c r="J252">
        <v>1</v>
      </c>
      <c r="K252" t="s">
        <v>24</v>
      </c>
      <c r="L252">
        <v>3</v>
      </c>
      <c r="M252">
        <v>4</v>
      </c>
      <c r="N252">
        <v>3</v>
      </c>
      <c r="O252">
        <v>5</v>
      </c>
      <c r="P252" t="s">
        <v>24</v>
      </c>
    </row>
    <row r="253" spans="1:16" x14ac:dyDescent="0.25">
      <c r="A253" t="s">
        <v>494</v>
      </c>
      <c r="B253">
        <v>27</v>
      </c>
      <c r="C253" t="s">
        <v>18</v>
      </c>
      <c r="D253" t="s">
        <v>33</v>
      </c>
      <c r="E253" t="s">
        <v>28</v>
      </c>
      <c r="F253" t="s">
        <v>29</v>
      </c>
      <c r="G253" t="s">
        <v>495</v>
      </c>
      <c r="H253">
        <v>3</v>
      </c>
      <c r="I253">
        <v>14789</v>
      </c>
      <c r="J253">
        <v>4</v>
      </c>
      <c r="K253" t="s">
        <v>24</v>
      </c>
      <c r="L253">
        <v>3</v>
      </c>
      <c r="M253">
        <v>2</v>
      </c>
      <c r="N253">
        <v>3</v>
      </c>
      <c r="O253">
        <v>2</v>
      </c>
      <c r="P253" t="s">
        <v>24</v>
      </c>
    </row>
    <row r="254" spans="1:16" x14ac:dyDescent="0.25">
      <c r="A254" t="s">
        <v>496</v>
      </c>
      <c r="B254">
        <v>41</v>
      </c>
      <c r="C254" t="s">
        <v>18</v>
      </c>
      <c r="D254" t="s">
        <v>19</v>
      </c>
      <c r="E254" t="s">
        <v>20</v>
      </c>
      <c r="F254" t="s">
        <v>21</v>
      </c>
      <c r="G254" t="s">
        <v>497</v>
      </c>
      <c r="H254">
        <v>1</v>
      </c>
      <c r="I254">
        <v>12288</v>
      </c>
      <c r="J254">
        <v>2</v>
      </c>
      <c r="K254" t="s">
        <v>36</v>
      </c>
      <c r="L254">
        <v>3</v>
      </c>
      <c r="M254">
        <v>2</v>
      </c>
      <c r="N254">
        <v>3</v>
      </c>
      <c r="O254">
        <v>3</v>
      </c>
      <c r="P254" t="s">
        <v>24</v>
      </c>
    </row>
    <row r="255" spans="1:16" x14ac:dyDescent="0.25">
      <c r="A255" t="s">
        <v>498</v>
      </c>
      <c r="B255">
        <v>27</v>
      </c>
      <c r="C255" t="s">
        <v>18</v>
      </c>
      <c r="D255" t="s">
        <v>19</v>
      </c>
      <c r="E255" t="s">
        <v>28</v>
      </c>
      <c r="F255" t="s">
        <v>34</v>
      </c>
      <c r="G255" t="s">
        <v>499</v>
      </c>
      <c r="H255">
        <v>0</v>
      </c>
      <c r="I255">
        <v>3013</v>
      </c>
      <c r="J255">
        <v>3</v>
      </c>
      <c r="K255" t="s">
        <v>24</v>
      </c>
      <c r="L255">
        <v>4</v>
      </c>
      <c r="M255">
        <v>2</v>
      </c>
      <c r="N255">
        <v>3</v>
      </c>
      <c r="O255">
        <v>5</v>
      </c>
      <c r="P255" t="s">
        <v>24</v>
      </c>
    </row>
    <row r="256" spans="1:16" x14ac:dyDescent="0.25">
      <c r="A256" t="s">
        <v>500</v>
      </c>
      <c r="B256">
        <v>44</v>
      </c>
      <c r="C256" t="s">
        <v>26</v>
      </c>
      <c r="D256" t="s">
        <v>33</v>
      </c>
      <c r="E256" t="s">
        <v>28</v>
      </c>
      <c r="F256" t="s">
        <v>64</v>
      </c>
      <c r="G256" t="s">
        <v>501</v>
      </c>
      <c r="H256">
        <v>4</v>
      </c>
      <c r="I256">
        <v>5168</v>
      </c>
      <c r="J256">
        <v>9</v>
      </c>
      <c r="K256" t="s">
        <v>24</v>
      </c>
      <c r="L256">
        <v>2</v>
      </c>
      <c r="M256">
        <v>3</v>
      </c>
      <c r="N256">
        <v>3</v>
      </c>
      <c r="O256">
        <v>5</v>
      </c>
      <c r="P256" t="s">
        <v>24</v>
      </c>
    </row>
    <row r="257" spans="1:16" x14ac:dyDescent="0.25">
      <c r="A257" t="s">
        <v>502</v>
      </c>
      <c r="B257">
        <v>31</v>
      </c>
      <c r="C257" t="s">
        <v>26</v>
      </c>
      <c r="D257" t="s">
        <v>27</v>
      </c>
      <c r="E257" t="s">
        <v>28</v>
      </c>
      <c r="F257" t="s">
        <v>34</v>
      </c>
      <c r="G257" t="s">
        <v>255</v>
      </c>
      <c r="H257">
        <v>2</v>
      </c>
      <c r="I257">
        <v>3730</v>
      </c>
      <c r="J257">
        <v>15</v>
      </c>
      <c r="K257" t="s">
        <v>24</v>
      </c>
      <c r="L257">
        <v>3</v>
      </c>
      <c r="M257">
        <v>4</v>
      </c>
      <c r="N257">
        <v>3</v>
      </c>
      <c r="O257">
        <v>4</v>
      </c>
      <c r="P257" t="s">
        <v>24</v>
      </c>
    </row>
    <row r="258" spans="1:16" x14ac:dyDescent="0.25">
      <c r="A258" t="s">
        <v>503</v>
      </c>
      <c r="B258">
        <v>33</v>
      </c>
      <c r="C258" t="s">
        <v>18</v>
      </c>
      <c r="D258" t="s">
        <v>33</v>
      </c>
      <c r="E258" t="s">
        <v>20</v>
      </c>
      <c r="F258" t="s">
        <v>44</v>
      </c>
      <c r="G258" t="s">
        <v>504</v>
      </c>
      <c r="H258">
        <v>1</v>
      </c>
      <c r="I258">
        <v>4658</v>
      </c>
      <c r="J258">
        <v>15</v>
      </c>
      <c r="K258" t="s">
        <v>24</v>
      </c>
      <c r="L258">
        <v>3</v>
      </c>
      <c r="M258">
        <v>3</v>
      </c>
      <c r="N258">
        <v>3</v>
      </c>
      <c r="O258">
        <v>1</v>
      </c>
      <c r="P258" t="s">
        <v>36</v>
      </c>
    </row>
    <row r="259" spans="1:16" x14ac:dyDescent="0.25">
      <c r="A259" t="s">
        <v>505</v>
      </c>
      <c r="B259">
        <v>47</v>
      </c>
      <c r="C259" t="s">
        <v>18</v>
      </c>
      <c r="D259" t="s">
        <v>27</v>
      </c>
      <c r="E259" t="s">
        <v>28</v>
      </c>
      <c r="F259" t="s">
        <v>59</v>
      </c>
      <c r="G259" t="s">
        <v>506</v>
      </c>
      <c r="H259">
        <v>1</v>
      </c>
      <c r="I259">
        <v>5730</v>
      </c>
      <c r="J259">
        <v>3</v>
      </c>
      <c r="K259" t="s">
        <v>24</v>
      </c>
      <c r="L259">
        <v>1</v>
      </c>
      <c r="M259">
        <v>3</v>
      </c>
      <c r="N259">
        <v>3</v>
      </c>
      <c r="O259">
        <v>5</v>
      </c>
      <c r="P259" t="s">
        <v>24</v>
      </c>
    </row>
    <row r="260" spans="1:16" x14ac:dyDescent="0.25">
      <c r="A260" t="s">
        <v>507</v>
      </c>
      <c r="B260">
        <v>27</v>
      </c>
      <c r="C260" t="s">
        <v>18</v>
      </c>
      <c r="D260" t="s">
        <v>27</v>
      </c>
      <c r="E260" t="s">
        <v>110</v>
      </c>
      <c r="F260" t="s">
        <v>111</v>
      </c>
      <c r="G260" t="s">
        <v>508</v>
      </c>
      <c r="H260">
        <v>1</v>
      </c>
      <c r="I260">
        <v>4410</v>
      </c>
      <c r="J260">
        <v>4</v>
      </c>
      <c r="K260" t="s">
        <v>24</v>
      </c>
      <c r="L260">
        <v>1</v>
      </c>
      <c r="M260">
        <v>4</v>
      </c>
      <c r="N260">
        <v>3</v>
      </c>
      <c r="O260">
        <v>2</v>
      </c>
      <c r="P260" t="s">
        <v>36</v>
      </c>
    </row>
    <row r="261" spans="1:16" x14ac:dyDescent="0.25">
      <c r="A261" t="s">
        <v>509</v>
      </c>
      <c r="B261">
        <v>47</v>
      </c>
      <c r="C261" t="s">
        <v>26</v>
      </c>
      <c r="D261" t="s">
        <v>27</v>
      </c>
      <c r="E261" t="s">
        <v>28</v>
      </c>
      <c r="F261" t="s">
        <v>34</v>
      </c>
      <c r="G261" t="s">
        <v>510</v>
      </c>
      <c r="H261">
        <v>5</v>
      </c>
      <c r="I261">
        <v>3169</v>
      </c>
      <c r="J261">
        <v>3</v>
      </c>
      <c r="K261" t="s">
        <v>24</v>
      </c>
      <c r="L261">
        <v>4</v>
      </c>
      <c r="M261">
        <v>3</v>
      </c>
      <c r="N261">
        <v>3</v>
      </c>
      <c r="O261">
        <v>4</v>
      </c>
      <c r="P261" t="s">
        <v>24</v>
      </c>
    </row>
    <row r="262" spans="1:16" x14ac:dyDescent="0.25">
      <c r="A262" t="s">
        <v>511</v>
      </c>
      <c r="B262">
        <v>38</v>
      </c>
      <c r="C262" t="s">
        <v>18</v>
      </c>
      <c r="D262" t="s">
        <v>19</v>
      </c>
      <c r="E262" t="s">
        <v>28</v>
      </c>
      <c r="F262" t="s">
        <v>59</v>
      </c>
      <c r="G262" t="s">
        <v>512</v>
      </c>
      <c r="H262">
        <v>0</v>
      </c>
      <c r="I262">
        <v>5601</v>
      </c>
      <c r="J262">
        <v>9</v>
      </c>
      <c r="K262" t="s">
        <v>24</v>
      </c>
      <c r="L262">
        <v>2</v>
      </c>
      <c r="M262">
        <v>3</v>
      </c>
      <c r="N262">
        <v>3</v>
      </c>
      <c r="O262">
        <v>5</v>
      </c>
      <c r="P262" t="s">
        <v>24</v>
      </c>
    </row>
    <row r="263" spans="1:16" x14ac:dyDescent="0.25">
      <c r="A263" t="s">
        <v>513</v>
      </c>
      <c r="B263">
        <v>24</v>
      </c>
      <c r="C263" t="s">
        <v>26</v>
      </c>
      <c r="D263" t="s">
        <v>33</v>
      </c>
      <c r="E263" t="s">
        <v>28</v>
      </c>
      <c r="F263" t="s">
        <v>29</v>
      </c>
      <c r="G263" t="s">
        <v>514</v>
      </c>
      <c r="H263">
        <v>1</v>
      </c>
      <c r="I263">
        <v>10679</v>
      </c>
      <c r="J263">
        <v>9</v>
      </c>
      <c r="K263" t="s">
        <v>24</v>
      </c>
      <c r="L263">
        <v>2</v>
      </c>
      <c r="M263">
        <v>4</v>
      </c>
      <c r="N263">
        <v>3</v>
      </c>
      <c r="O263">
        <v>3</v>
      </c>
      <c r="P263" t="s">
        <v>24</v>
      </c>
    </row>
    <row r="264" spans="1:16" x14ac:dyDescent="0.25">
      <c r="A264" t="s">
        <v>515</v>
      </c>
      <c r="B264">
        <v>37</v>
      </c>
      <c r="C264" t="s">
        <v>18</v>
      </c>
      <c r="D264" t="s">
        <v>19</v>
      </c>
      <c r="E264" t="s">
        <v>28</v>
      </c>
      <c r="F264" t="s">
        <v>29</v>
      </c>
      <c r="G264" t="s">
        <v>516</v>
      </c>
      <c r="H264">
        <v>2</v>
      </c>
      <c r="I264">
        <v>11225</v>
      </c>
      <c r="J264">
        <v>1</v>
      </c>
      <c r="K264" t="s">
        <v>36</v>
      </c>
      <c r="L264">
        <v>4</v>
      </c>
      <c r="M264">
        <v>3</v>
      </c>
      <c r="N264">
        <v>3</v>
      </c>
      <c r="O264">
        <v>0</v>
      </c>
      <c r="P264" t="s">
        <v>24</v>
      </c>
    </row>
    <row r="265" spans="1:16" x14ac:dyDescent="0.25">
      <c r="A265" t="s">
        <v>517</v>
      </c>
      <c r="B265">
        <v>20</v>
      </c>
      <c r="C265" t="s">
        <v>26</v>
      </c>
      <c r="D265" t="s">
        <v>19</v>
      </c>
      <c r="E265" t="s">
        <v>20</v>
      </c>
      <c r="F265" t="s">
        <v>21</v>
      </c>
      <c r="G265" t="s">
        <v>441</v>
      </c>
      <c r="H265">
        <v>0</v>
      </c>
      <c r="I265">
        <v>14032</v>
      </c>
      <c r="J265">
        <v>3</v>
      </c>
      <c r="K265" t="s">
        <v>24</v>
      </c>
      <c r="L265">
        <v>3</v>
      </c>
      <c r="M265">
        <v>3</v>
      </c>
      <c r="N265">
        <v>3</v>
      </c>
      <c r="O265">
        <v>1</v>
      </c>
      <c r="P265" t="s">
        <v>24</v>
      </c>
    </row>
    <row r="266" spans="1:16" x14ac:dyDescent="0.25">
      <c r="A266" t="s">
        <v>518</v>
      </c>
      <c r="B266">
        <v>34</v>
      </c>
      <c r="C266" t="s">
        <v>18</v>
      </c>
      <c r="D266" t="s">
        <v>19</v>
      </c>
      <c r="E266" t="s">
        <v>28</v>
      </c>
      <c r="F266" t="s">
        <v>29</v>
      </c>
      <c r="G266" t="s">
        <v>519</v>
      </c>
      <c r="H266">
        <v>2</v>
      </c>
      <c r="I266">
        <v>13728</v>
      </c>
      <c r="J266">
        <v>3</v>
      </c>
      <c r="K266" t="s">
        <v>24</v>
      </c>
      <c r="L266">
        <v>3</v>
      </c>
      <c r="M266">
        <v>3</v>
      </c>
      <c r="N266">
        <v>3</v>
      </c>
      <c r="O266">
        <v>2</v>
      </c>
      <c r="P266" t="s">
        <v>24</v>
      </c>
    </row>
    <row r="267" spans="1:16" x14ac:dyDescent="0.25">
      <c r="A267" t="s">
        <v>520</v>
      </c>
      <c r="B267">
        <v>48</v>
      </c>
      <c r="C267" t="s">
        <v>18</v>
      </c>
      <c r="D267" t="s">
        <v>33</v>
      </c>
      <c r="E267" t="s">
        <v>28</v>
      </c>
      <c r="F267" t="s">
        <v>34</v>
      </c>
      <c r="G267" t="s">
        <v>521</v>
      </c>
      <c r="H267">
        <v>5</v>
      </c>
      <c r="I267">
        <v>3492</v>
      </c>
      <c r="J267">
        <v>8</v>
      </c>
      <c r="K267" t="s">
        <v>24</v>
      </c>
      <c r="L267">
        <v>2</v>
      </c>
      <c r="M267">
        <v>3</v>
      </c>
      <c r="N267">
        <v>3</v>
      </c>
      <c r="O267">
        <v>4</v>
      </c>
      <c r="P267" t="s">
        <v>24</v>
      </c>
    </row>
    <row r="268" spans="1:16" x14ac:dyDescent="0.25">
      <c r="A268" t="s">
        <v>522</v>
      </c>
      <c r="B268">
        <v>35</v>
      </c>
      <c r="C268" t="s">
        <v>26</v>
      </c>
      <c r="D268" t="s">
        <v>33</v>
      </c>
      <c r="E268" t="s">
        <v>28</v>
      </c>
      <c r="F268" t="s">
        <v>29</v>
      </c>
      <c r="G268" t="s">
        <v>523</v>
      </c>
      <c r="H268">
        <v>6</v>
      </c>
      <c r="I268">
        <v>13857</v>
      </c>
      <c r="J268">
        <v>5</v>
      </c>
      <c r="K268" t="s">
        <v>36</v>
      </c>
      <c r="L268">
        <v>2</v>
      </c>
      <c r="M268">
        <v>3</v>
      </c>
      <c r="N268">
        <v>3</v>
      </c>
      <c r="O268">
        <v>5</v>
      </c>
      <c r="P268" t="s">
        <v>36</v>
      </c>
    </row>
    <row r="269" spans="1:16" x14ac:dyDescent="0.25">
      <c r="A269" t="s">
        <v>524</v>
      </c>
      <c r="B269">
        <v>26</v>
      </c>
      <c r="C269" t="s">
        <v>18</v>
      </c>
      <c r="D269" t="s">
        <v>19</v>
      </c>
      <c r="E269" t="s">
        <v>28</v>
      </c>
      <c r="F269" t="s">
        <v>34</v>
      </c>
      <c r="G269" t="s">
        <v>525</v>
      </c>
      <c r="H269">
        <v>0</v>
      </c>
      <c r="I269">
        <v>3229</v>
      </c>
      <c r="J269">
        <v>6</v>
      </c>
      <c r="K269" t="s">
        <v>24</v>
      </c>
      <c r="L269">
        <v>4</v>
      </c>
      <c r="M269">
        <v>1</v>
      </c>
      <c r="N269">
        <v>3</v>
      </c>
      <c r="O269">
        <v>3</v>
      </c>
      <c r="P269" t="s">
        <v>24</v>
      </c>
    </row>
    <row r="270" spans="1:16" x14ac:dyDescent="0.25">
      <c r="A270" t="s">
        <v>526</v>
      </c>
      <c r="B270">
        <v>33</v>
      </c>
      <c r="C270" t="s">
        <v>18</v>
      </c>
      <c r="D270" t="s">
        <v>33</v>
      </c>
      <c r="E270" t="s">
        <v>28</v>
      </c>
      <c r="F270" t="s">
        <v>64</v>
      </c>
      <c r="G270" t="s">
        <v>478</v>
      </c>
      <c r="H270">
        <v>0</v>
      </c>
      <c r="I270">
        <v>5976</v>
      </c>
      <c r="J270">
        <v>1</v>
      </c>
      <c r="K270" t="s">
        <v>24</v>
      </c>
      <c r="L270">
        <v>2</v>
      </c>
      <c r="M270">
        <v>3</v>
      </c>
      <c r="N270">
        <v>3</v>
      </c>
      <c r="O270">
        <v>1</v>
      </c>
      <c r="P270" t="s">
        <v>36</v>
      </c>
    </row>
    <row r="271" spans="1:16" x14ac:dyDescent="0.25">
      <c r="A271" t="s">
        <v>527</v>
      </c>
      <c r="B271">
        <v>29</v>
      </c>
      <c r="C271" t="s">
        <v>18</v>
      </c>
      <c r="D271" t="s">
        <v>19</v>
      </c>
      <c r="E271" t="s">
        <v>28</v>
      </c>
      <c r="F271" t="s">
        <v>29</v>
      </c>
      <c r="G271" t="s">
        <v>528</v>
      </c>
      <c r="H271">
        <v>3</v>
      </c>
      <c r="I271">
        <v>10852</v>
      </c>
      <c r="J271">
        <v>1</v>
      </c>
      <c r="K271" t="s">
        <v>24</v>
      </c>
      <c r="L271">
        <v>4</v>
      </c>
      <c r="M271">
        <v>3</v>
      </c>
      <c r="N271">
        <v>3</v>
      </c>
      <c r="O271">
        <v>2</v>
      </c>
      <c r="P271" t="s">
        <v>24</v>
      </c>
    </row>
    <row r="272" spans="1:16" x14ac:dyDescent="0.25">
      <c r="A272" t="s">
        <v>529</v>
      </c>
      <c r="B272">
        <v>29</v>
      </c>
      <c r="C272" t="s">
        <v>18</v>
      </c>
      <c r="D272" t="s">
        <v>33</v>
      </c>
      <c r="E272" t="s">
        <v>28</v>
      </c>
      <c r="F272" t="s">
        <v>59</v>
      </c>
      <c r="G272" t="s">
        <v>530</v>
      </c>
      <c r="H272">
        <v>4</v>
      </c>
      <c r="I272">
        <v>6696</v>
      </c>
      <c r="J272">
        <v>1</v>
      </c>
      <c r="K272" t="s">
        <v>24</v>
      </c>
      <c r="L272">
        <v>4</v>
      </c>
      <c r="M272">
        <v>2</v>
      </c>
      <c r="N272">
        <v>3</v>
      </c>
      <c r="O272">
        <v>1</v>
      </c>
      <c r="P272" t="s">
        <v>24</v>
      </c>
    </row>
    <row r="273" spans="1:16" x14ac:dyDescent="0.25">
      <c r="A273" t="s">
        <v>1164</v>
      </c>
      <c r="B273">
        <v>38</v>
      </c>
      <c r="C273" t="s">
        <v>18</v>
      </c>
      <c r="D273" t="s">
        <v>19</v>
      </c>
      <c r="E273" t="s">
        <v>28</v>
      </c>
      <c r="F273" t="s">
        <v>64</v>
      </c>
      <c r="G273" t="s">
        <v>575</v>
      </c>
      <c r="H273">
        <v>7</v>
      </c>
      <c r="I273">
        <v>4895</v>
      </c>
      <c r="J273">
        <v>30</v>
      </c>
      <c r="K273" t="s">
        <v>24</v>
      </c>
      <c r="M273">
        <v>3</v>
      </c>
      <c r="N273">
        <v>3</v>
      </c>
      <c r="O273">
        <v>4</v>
      </c>
      <c r="P273" t="s">
        <v>36</v>
      </c>
    </row>
    <row r="274" spans="1:16" x14ac:dyDescent="0.25">
      <c r="A274" t="s">
        <v>1165</v>
      </c>
      <c r="B274">
        <v>42</v>
      </c>
      <c r="C274" t="s">
        <v>26</v>
      </c>
      <c r="D274" t="s">
        <v>19</v>
      </c>
      <c r="E274" t="s">
        <v>28</v>
      </c>
      <c r="F274" t="s">
        <v>29</v>
      </c>
      <c r="G274" t="s">
        <v>1127</v>
      </c>
      <c r="H274">
        <v>0</v>
      </c>
      <c r="I274">
        <v>14809</v>
      </c>
      <c r="J274">
        <v>5</v>
      </c>
      <c r="K274" t="s">
        <v>24</v>
      </c>
      <c r="L274">
        <v>3</v>
      </c>
      <c r="M274">
        <v>3</v>
      </c>
      <c r="N274">
        <v>4</v>
      </c>
      <c r="O274">
        <v>1</v>
      </c>
      <c r="P274" t="s">
        <v>36</v>
      </c>
    </row>
    <row r="275" spans="1:16" x14ac:dyDescent="0.25">
      <c r="A275" t="s">
        <v>531</v>
      </c>
      <c r="B275">
        <v>26</v>
      </c>
      <c r="C275" t="s">
        <v>18</v>
      </c>
      <c r="D275" t="s">
        <v>27</v>
      </c>
      <c r="E275" t="s">
        <v>20</v>
      </c>
      <c r="F275" t="s">
        <v>40</v>
      </c>
      <c r="G275" t="s">
        <v>532</v>
      </c>
      <c r="H275">
        <v>1</v>
      </c>
      <c r="I275">
        <v>3606</v>
      </c>
      <c r="J275">
        <v>1</v>
      </c>
      <c r="K275" t="s">
        <v>24</v>
      </c>
      <c r="L275">
        <v>4</v>
      </c>
      <c r="M275">
        <v>3</v>
      </c>
      <c r="N275">
        <v>3</v>
      </c>
      <c r="O275">
        <v>1</v>
      </c>
      <c r="P275" t="s">
        <v>24</v>
      </c>
    </row>
    <row r="276" spans="1:16" x14ac:dyDescent="0.25">
      <c r="A276" t="s">
        <v>533</v>
      </c>
      <c r="B276">
        <v>25</v>
      </c>
      <c r="C276" t="s">
        <v>26</v>
      </c>
      <c r="D276" t="s">
        <v>33</v>
      </c>
      <c r="E276" t="s">
        <v>28</v>
      </c>
      <c r="F276" t="s">
        <v>59</v>
      </c>
      <c r="G276" t="s">
        <v>534</v>
      </c>
      <c r="H276">
        <v>2</v>
      </c>
      <c r="I276">
        <v>5353</v>
      </c>
      <c r="J276">
        <v>6</v>
      </c>
      <c r="K276" t="s">
        <v>24</v>
      </c>
      <c r="L276">
        <v>4</v>
      </c>
      <c r="M276">
        <v>4</v>
      </c>
      <c r="N276">
        <v>3</v>
      </c>
      <c r="O276">
        <v>2</v>
      </c>
      <c r="P276" t="s">
        <v>24</v>
      </c>
    </row>
    <row r="277" spans="1:16" x14ac:dyDescent="0.25">
      <c r="A277" t="s">
        <v>535</v>
      </c>
      <c r="B277">
        <v>39</v>
      </c>
      <c r="C277" t="s">
        <v>26</v>
      </c>
      <c r="D277" t="s">
        <v>27</v>
      </c>
      <c r="E277" t="s">
        <v>28</v>
      </c>
      <c r="F277" t="s">
        <v>59</v>
      </c>
      <c r="G277" t="s">
        <v>536</v>
      </c>
      <c r="H277">
        <v>0</v>
      </c>
      <c r="I277">
        <v>5959</v>
      </c>
      <c r="J277">
        <v>10</v>
      </c>
      <c r="K277" t="s">
        <v>36</v>
      </c>
      <c r="L277">
        <v>3</v>
      </c>
      <c r="M277">
        <v>3</v>
      </c>
      <c r="N277">
        <v>3</v>
      </c>
      <c r="O277">
        <v>3</v>
      </c>
      <c r="P277" t="s">
        <v>24</v>
      </c>
    </row>
    <row r="278" spans="1:16" x14ac:dyDescent="0.25">
      <c r="A278" t="s">
        <v>1166</v>
      </c>
      <c r="B278">
        <v>38</v>
      </c>
      <c r="C278" t="s">
        <v>26</v>
      </c>
      <c r="D278" t="s">
        <v>27</v>
      </c>
      <c r="E278" t="s">
        <v>28</v>
      </c>
      <c r="F278" t="s">
        <v>29</v>
      </c>
      <c r="G278" t="s">
        <v>1167</v>
      </c>
      <c r="H278">
        <v>2</v>
      </c>
      <c r="I278">
        <v>11314</v>
      </c>
      <c r="J278">
        <v>12</v>
      </c>
      <c r="K278" t="s">
        <v>24</v>
      </c>
      <c r="L278">
        <v>3</v>
      </c>
      <c r="N278">
        <v>3</v>
      </c>
      <c r="O278">
        <v>0</v>
      </c>
      <c r="P278" t="s">
        <v>24</v>
      </c>
    </row>
    <row r="279" spans="1:16" x14ac:dyDescent="0.25">
      <c r="A279" t="s">
        <v>537</v>
      </c>
      <c r="B279">
        <v>45</v>
      </c>
      <c r="C279" t="s">
        <v>26</v>
      </c>
      <c r="D279" t="s">
        <v>27</v>
      </c>
      <c r="E279" t="s">
        <v>28</v>
      </c>
      <c r="F279" t="s">
        <v>59</v>
      </c>
      <c r="G279" t="s">
        <v>538</v>
      </c>
      <c r="H279">
        <v>0</v>
      </c>
      <c r="I279">
        <v>5601</v>
      </c>
      <c r="J279">
        <v>12</v>
      </c>
      <c r="K279" t="s">
        <v>24</v>
      </c>
      <c r="L279">
        <v>2</v>
      </c>
      <c r="M279">
        <v>3</v>
      </c>
      <c r="N279">
        <v>3</v>
      </c>
      <c r="O279">
        <v>5</v>
      </c>
      <c r="P279" t="s">
        <v>24</v>
      </c>
    </row>
    <row r="280" spans="1:16" x14ac:dyDescent="0.25">
      <c r="A280" t="s">
        <v>539</v>
      </c>
      <c r="B280">
        <v>29</v>
      </c>
      <c r="C280" t="s">
        <v>18</v>
      </c>
      <c r="D280" t="s">
        <v>33</v>
      </c>
      <c r="E280" t="s">
        <v>28</v>
      </c>
      <c r="F280" t="s">
        <v>64</v>
      </c>
      <c r="G280" t="s">
        <v>540</v>
      </c>
      <c r="H280">
        <v>4</v>
      </c>
      <c r="I280">
        <v>4772</v>
      </c>
      <c r="J280">
        <v>1</v>
      </c>
      <c r="K280" t="s">
        <v>36</v>
      </c>
      <c r="L280">
        <v>3</v>
      </c>
      <c r="M280">
        <v>2</v>
      </c>
      <c r="N280">
        <v>3</v>
      </c>
      <c r="O280">
        <v>3</v>
      </c>
      <c r="P280" t="s">
        <v>36</v>
      </c>
    </row>
    <row r="281" spans="1:16" x14ac:dyDescent="0.25">
      <c r="A281" t="s">
        <v>541</v>
      </c>
      <c r="B281">
        <v>40</v>
      </c>
      <c r="C281" t="s">
        <v>18</v>
      </c>
      <c r="D281" t="s">
        <v>19</v>
      </c>
      <c r="E281" t="s">
        <v>110</v>
      </c>
      <c r="F281" t="s">
        <v>189</v>
      </c>
      <c r="G281" t="s">
        <v>542</v>
      </c>
      <c r="H281">
        <v>5</v>
      </c>
      <c r="I281">
        <v>4516</v>
      </c>
      <c r="J281">
        <v>2</v>
      </c>
      <c r="K281" t="s">
        <v>24</v>
      </c>
      <c r="L281">
        <v>4</v>
      </c>
      <c r="M281">
        <v>3</v>
      </c>
      <c r="N281">
        <v>3</v>
      </c>
      <c r="O281">
        <v>4</v>
      </c>
      <c r="P281" t="s">
        <v>24</v>
      </c>
    </row>
    <row r="282" spans="1:16" x14ac:dyDescent="0.25">
      <c r="A282" t="s">
        <v>543</v>
      </c>
      <c r="B282">
        <v>33</v>
      </c>
      <c r="C282" t="s">
        <v>18</v>
      </c>
      <c r="D282" t="s">
        <v>33</v>
      </c>
      <c r="E282" t="s">
        <v>28</v>
      </c>
      <c r="F282" t="s">
        <v>59</v>
      </c>
      <c r="G282" t="s">
        <v>544</v>
      </c>
      <c r="H282">
        <v>6</v>
      </c>
      <c r="I282">
        <v>7262</v>
      </c>
      <c r="J282">
        <v>3</v>
      </c>
      <c r="K282" t="s">
        <v>24</v>
      </c>
      <c r="L282">
        <v>4</v>
      </c>
      <c r="M282">
        <v>2</v>
      </c>
      <c r="N282">
        <v>3</v>
      </c>
      <c r="O282">
        <v>0</v>
      </c>
      <c r="P282" t="s">
        <v>24</v>
      </c>
    </row>
    <row r="283" spans="1:16" x14ac:dyDescent="0.25">
      <c r="A283" t="s">
        <v>545</v>
      </c>
      <c r="B283">
        <v>28</v>
      </c>
      <c r="C283" t="s">
        <v>18</v>
      </c>
      <c r="D283" t="s">
        <v>27</v>
      </c>
      <c r="E283" t="s">
        <v>20</v>
      </c>
      <c r="F283" t="s">
        <v>44</v>
      </c>
      <c r="G283" t="s">
        <v>546</v>
      </c>
      <c r="H283">
        <v>6</v>
      </c>
      <c r="I283">
        <v>6402</v>
      </c>
      <c r="J283">
        <v>3</v>
      </c>
      <c r="K283" t="s">
        <v>24</v>
      </c>
      <c r="L283">
        <v>4</v>
      </c>
      <c r="M283">
        <v>1</v>
      </c>
      <c r="N283">
        <v>3</v>
      </c>
      <c r="O283">
        <v>3</v>
      </c>
      <c r="P283" t="s">
        <v>24</v>
      </c>
    </row>
    <row r="284" spans="1:16" x14ac:dyDescent="0.25">
      <c r="A284" t="s">
        <v>547</v>
      </c>
      <c r="B284">
        <v>43</v>
      </c>
      <c r="C284" t="s">
        <v>26</v>
      </c>
      <c r="D284" t="s">
        <v>19</v>
      </c>
      <c r="E284" t="s">
        <v>110</v>
      </c>
      <c r="F284" t="s">
        <v>111</v>
      </c>
      <c r="G284" t="s">
        <v>548</v>
      </c>
      <c r="H284">
        <v>1</v>
      </c>
      <c r="I284">
        <v>4688</v>
      </c>
      <c r="J284">
        <v>2</v>
      </c>
      <c r="K284" t="s">
        <v>36</v>
      </c>
      <c r="L284">
        <v>3</v>
      </c>
      <c r="M284">
        <v>2</v>
      </c>
      <c r="N284">
        <v>3</v>
      </c>
      <c r="O284">
        <v>1</v>
      </c>
      <c r="P284" t="s">
        <v>24</v>
      </c>
    </row>
    <row r="285" spans="1:16" x14ac:dyDescent="0.25">
      <c r="A285" t="s">
        <v>549</v>
      </c>
      <c r="B285">
        <v>43</v>
      </c>
      <c r="C285" t="s">
        <v>26</v>
      </c>
      <c r="D285" t="s">
        <v>19</v>
      </c>
      <c r="E285" t="s">
        <v>20</v>
      </c>
      <c r="F285" t="s">
        <v>44</v>
      </c>
      <c r="G285" t="s">
        <v>504</v>
      </c>
      <c r="H285">
        <v>1</v>
      </c>
      <c r="I285">
        <v>6686</v>
      </c>
      <c r="J285">
        <v>3</v>
      </c>
      <c r="K285" t="s">
        <v>24</v>
      </c>
      <c r="L285">
        <v>3</v>
      </c>
      <c r="M285">
        <v>3</v>
      </c>
      <c r="N285">
        <v>3</v>
      </c>
      <c r="O285">
        <v>1</v>
      </c>
      <c r="P285" t="s">
        <v>24</v>
      </c>
    </row>
    <row r="286" spans="1:16" x14ac:dyDescent="0.25">
      <c r="A286" t="s">
        <v>550</v>
      </c>
      <c r="B286">
        <v>23</v>
      </c>
      <c r="C286" t="s">
        <v>18</v>
      </c>
      <c r="D286" t="s">
        <v>19</v>
      </c>
      <c r="E286" t="s">
        <v>1130</v>
      </c>
      <c r="F286" t="s">
        <v>29</v>
      </c>
      <c r="G286" t="s">
        <v>551</v>
      </c>
      <c r="H286">
        <v>8</v>
      </c>
      <c r="I286">
        <v>10154</v>
      </c>
      <c r="J286">
        <v>1</v>
      </c>
      <c r="K286" t="s">
        <v>36</v>
      </c>
      <c r="L286">
        <v>3</v>
      </c>
      <c r="M286">
        <v>4</v>
      </c>
      <c r="N286">
        <v>3</v>
      </c>
      <c r="O286">
        <v>2</v>
      </c>
      <c r="P286" t="s">
        <v>24</v>
      </c>
    </row>
    <row r="287" spans="1:16" x14ac:dyDescent="0.25">
      <c r="A287" t="s">
        <v>552</v>
      </c>
      <c r="B287">
        <v>39</v>
      </c>
      <c r="C287" t="s">
        <v>26</v>
      </c>
      <c r="D287" t="s">
        <v>19</v>
      </c>
      <c r="E287" t="s">
        <v>28</v>
      </c>
      <c r="F287" t="s">
        <v>29</v>
      </c>
      <c r="G287" t="s">
        <v>553</v>
      </c>
      <c r="H287">
        <v>0</v>
      </c>
      <c r="I287">
        <v>14795</v>
      </c>
      <c r="J287">
        <v>18</v>
      </c>
      <c r="K287" t="s">
        <v>24</v>
      </c>
      <c r="L287">
        <v>4</v>
      </c>
      <c r="M287">
        <v>2</v>
      </c>
      <c r="N287">
        <v>3</v>
      </c>
      <c r="O287">
        <v>4</v>
      </c>
      <c r="P287" t="s">
        <v>24</v>
      </c>
    </row>
    <row r="288" spans="1:16" x14ac:dyDescent="0.25">
      <c r="A288" t="s">
        <v>554</v>
      </c>
      <c r="B288">
        <v>32</v>
      </c>
      <c r="C288" t="s">
        <v>26</v>
      </c>
      <c r="D288" t="s">
        <v>27</v>
      </c>
      <c r="E288" t="s">
        <v>28</v>
      </c>
      <c r="F288" t="s">
        <v>34</v>
      </c>
      <c r="G288" t="s">
        <v>555</v>
      </c>
      <c r="H288">
        <v>4</v>
      </c>
      <c r="I288">
        <v>3418</v>
      </c>
      <c r="J288">
        <v>12</v>
      </c>
      <c r="K288" t="s">
        <v>24</v>
      </c>
      <c r="L288">
        <v>4</v>
      </c>
      <c r="M288">
        <v>2</v>
      </c>
      <c r="N288">
        <v>3</v>
      </c>
      <c r="O288">
        <v>2</v>
      </c>
      <c r="P288" t="s">
        <v>24</v>
      </c>
    </row>
    <row r="289" spans="1:16" x14ac:dyDescent="0.25">
      <c r="A289" t="s">
        <v>556</v>
      </c>
      <c r="B289">
        <v>21</v>
      </c>
      <c r="C289" t="s">
        <v>18</v>
      </c>
      <c r="D289" t="s">
        <v>33</v>
      </c>
      <c r="E289" t="s">
        <v>20</v>
      </c>
      <c r="F289" t="s">
        <v>21</v>
      </c>
      <c r="G289" t="s">
        <v>557</v>
      </c>
      <c r="H289">
        <v>1</v>
      </c>
      <c r="I289">
        <v>8819</v>
      </c>
      <c r="J289">
        <v>7</v>
      </c>
      <c r="K289" t="s">
        <v>24</v>
      </c>
      <c r="L289">
        <v>3</v>
      </c>
      <c r="M289">
        <v>1</v>
      </c>
      <c r="N289">
        <v>3</v>
      </c>
      <c r="O289">
        <v>5</v>
      </c>
      <c r="P289" t="s">
        <v>36</v>
      </c>
    </row>
    <row r="290" spans="1:16" x14ac:dyDescent="0.25">
      <c r="A290" t="s">
        <v>558</v>
      </c>
      <c r="B290">
        <v>34</v>
      </c>
      <c r="C290" t="s">
        <v>26</v>
      </c>
      <c r="D290" t="s">
        <v>33</v>
      </c>
      <c r="E290" t="s">
        <v>20</v>
      </c>
      <c r="F290" t="s">
        <v>40</v>
      </c>
      <c r="G290" t="s">
        <v>559</v>
      </c>
      <c r="H290">
        <v>6</v>
      </c>
      <c r="I290">
        <v>3725</v>
      </c>
      <c r="J290">
        <v>23</v>
      </c>
      <c r="K290" t="s">
        <v>24</v>
      </c>
      <c r="L290">
        <v>2</v>
      </c>
      <c r="M290">
        <v>3</v>
      </c>
      <c r="N290">
        <v>3</v>
      </c>
      <c r="O290">
        <v>2</v>
      </c>
      <c r="P290" t="s">
        <v>24</v>
      </c>
    </row>
    <row r="291" spans="1:16" x14ac:dyDescent="0.25">
      <c r="A291" t="s">
        <v>560</v>
      </c>
      <c r="B291">
        <v>39</v>
      </c>
      <c r="C291" t="s">
        <v>26</v>
      </c>
      <c r="D291" t="s">
        <v>19</v>
      </c>
      <c r="E291" t="s">
        <v>28</v>
      </c>
      <c r="F291" t="s">
        <v>59</v>
      </c>
      <c r="G291" t="s">
        <v>561</v>
      </c>
      <c r="H291">
        <v>0</v>
      </c>
      <c r="I291">
        <v>7033</v>
      </c>
      <c r="J291">
        <v>6</v>
      </c>
      <c r="K291" t="s">
        <v>24</v>
      </c>
      <c r="L291">
        <v>4</v>
      </c>
      <c r="M291">
        <v>4</v>
      </c>
      <c r="N291">
        <v>3</v>
      </c>
      <c r="O291">
        <v>0</v>
      </c>
      <c r="P291" t="s">
        <v>24</v>
      </c>
    </row>
    <row r="292" spans="1:16" x14ac:dyDescent="0.25">
      <c r="A292" t="s">
        <v>562</v>
      </c>
      <c r="B292">
        <v>35</v>
      </c>
      <c r="C292" t="s">
        <v>18</v>
      </c>
      <c r="D292" t="s">
        <v>33</v>
      </c>
      <c r="E292" t="s">
        <v>20</v>
      </c>
      <c r="F292" t="s">
        <v>21</v>
      </c>
      <c r="G292" t="s">
        <v>563</v>
      </c>
      <c r="H292">
        <v>6</v>
      </c>
      <c r="I292">
        <v>11538</v>
      </c>
      <c r="J292">
        <v>9</v>
      </c>
      <c r="K292" t="s">
        <v>24</v>
      </c>
      <c r="L292">
        <v>3</v>
      </c>
      <c r="M292">
        <v>3</v>
      </c>
      <c r="N292">
        <v>3</v>
      </c>
      <c r="O292">
        <v>4</v>
      </c>
      <c r="P292" t="s">
        <v>24</v>
      </c>
    </row>
    <row r="293" spans="1:16" x14ac:dyDescent="0.25">
      <c r="A293" t="s">
        <v>564</v>
      </c>
      <c r="B293">
        <v>28</v>
      </c>
      <c r="C293" t="s">
        <v>26</v>
      </c>
      <c r="D293" t="s">
        <v>19</v>
      </c>
      <c r="E293" t="s">
        <v>28</v>
      </c>
      <c r="F293" t="s">
        <v>34</v>
      </c>
      <c r="G293" t="s">
        <v>565</v>
      </c>
      <c r="H293">
        <v>0</v>
      </c>
      <c r="I293">
        <v>2818</v>
      </c>
      <c r="J293">
        <v>15</v>
      </c>
      <c r="K293" t="s">
        <v>24</v>
      </c>
      <c r="L293">
        <v>3</v>
      </c>
      <c r="M293">
        <v>2</v>
      </c>
      <c r="N293">
        <v>3</v>
      </c>
      <c r="O293">
        <v>4</v>
      </c>
      <c r="P293" t="s">
        <v>24</v>
      </c>
    </row>
    <row r="294" spans="1:16" x14ac:dyDescent="0.25">
      <c r="A294" t="s">
        <v>566</v>
      </c>
      <c r="B294">
        <v>36</v>
      </c>
      <c r="C294" t="s">
        <v>18</v>
      </c>
      <c r="D294" t="s">
        <v>19</v>
      </c>
      <c r="E294" t="s">
        <v>20</v>
      </c>
      <c r="F294" t="s">
        <v>44</v>
      </c>
      <c r="G294" t="s">
        <v>567</v>
      </c>
      <c r="H294">
        <v>10</v>
      </c>
      <c r="I294">
        <v>5477</v>
      </c>
      <c r="J294">
        <v>1</v>
      </c>
      <c r="K294" t="s">
        <v>24</v>
      </c>
      <c r="L294">
        <v>3</v>
      </c>
      <c r="M294">
        <v>2</v>
      </c>
      <c r="N294">
        <v>3</v>
      </c>
      <c r="O294">
        <v>5</v>
      </c>
      <c r="P294" t="s">
        <v>24</v>
      </c>
    </row>
    <row r="295" spans="1:16" x14ac:dyDescent="0.25">
      <c r="A295" t="s">
        <v>568</v>
      </c>
      <c r="B295">
        <v>39</v>
      </c>
      <c r="C295" t="s">
        <v>18</v>
      </c>
      <c r="D295" t="s">
        <v>33</v>
      </c>
      <c r="E295" t="s">
        <v>1130</v>
      </c>
      <c r="F295" t="s">
        <v>34</v>
      </c>
      <c r="G295" t="s">
        <v>569</v>
      </c>
      <c r="H295">
        <v>5</v>
      </c>
      <c r="I295">
        <v>3010</v>
      </c>
      <c r="J295">
        <v>10</v>
      </c>
      <c r="K295" t="s">
        <v>24</v>
      </c>
      <c r="L295">
        <v>2</v>
      </c>
      <c r="M295">
        <v>1</v>
      </c>
      <c r="N295">
        <v>3</v>
      </c>
      <c r="O295">
        <v>1</v>
      </c>
      <c r="P295" t="s">
        <v>36</v>
      </c>
    </row>
    <row r="296" spans="1:16" x14ac:dyDescent="0.25">
      <c r="A296" t="s">
        <v>570</v>
      </c>
      <c r="B296">
        <v>28</v>
      </c>
      <c r="C296" t="s">
        <v>26</v>
      </c>
      <c r="D296" t="s">
        <v>19</v>
      </c>
      <c r="E296" t="s">
        <v>28</v>
      </c>
      <c r="F296" t="s">
        <v>29</v>
      </c>
      <c r="G296" t="s">
        <v>571</v>
      </c>
      <c r="H296">
        <v>0</v>
      </c>
      <c r="I296">
        <v>12289</v>
      </c>
      <c r="J296">
        <v>4</v>
      </c>
      <c r="K296" t="s">
        <v>36</v>
      </c>
      <c r="L296">
        <v>2</v>
      </c>
      <c r="M296">
        <v>3</v>
      </c>
      <c r="N296">
        <v>3</v>
      </c>
      <c r="O296">
        <v>3</v>
      </c>
      <c r="P296" t="s">
        <v>24</v>
      </c>
    </row>
    <row r="297" spans="1:16" x14ac:dyDescent="0.25">
      <c r="A297" t="s">
        <v>572</v>
      </c>
      <c r="B297">
        <v>24</v>
      </c>
      <c r="C297" t="s">
        <v>18</v>
      </c>
      <c r="D297" t="s">
        <v>33</v>
      </c>
      <c r="E297" t="s">
        <v>28</v>
      </c>
      <c r="F297" t="s">
        <v>59</v>
      </c>
      <c r="G297" t="s">
        <v>573</v>
      </c>
      <c r="H297">
        <v>4</v>
      </c>
      <c r="I297">
        <v>6197</v>
      </c>
      <c r="J297">
        <v>9</v>
      </c>
      <c r="K297" t="s">
        <v>24</v>
      </c>
      <c r="L297">
        <v>3</v>
      </c>
      <c r="M297">
        <v>1</v>
      </c>
      <c r="N297">
        <v>3</v>
      </c>
      <c r="O297">
        <v>2</v>
      </c>
      <c r="P297" t="s">
        <v>24</v>
      </c>
    </row>
    <row r="298" spans="1:16" x14ac:dyDescent="0.25">
      <c r="A298" t="s">
        <v>574</v>
      </c>
      <c r="B298">
        <v>32</v>
      </c>
      <c r="C298" t="s">
        <v>18</v>
      </c>
      <c r="D298" t="s">
        <v>33</v>
      </c>
      <c r="E298" t="s">
        <v>28</v>
      </c>
      <c r="F298" t="s">
        <v>59</v>
      </c>
      <c r="G298" t="s">
        <v>575</v>
      </c>
      <c r="H298">
        <v>7</v>
      </c>
      <c r="I298">
        <v>6073</v>
      </c>
      <c r="J298">
        <v>18</v>
      </c>
      <c r="K298" t="s">
        <v>36</v>
      </c>
      <c r="L298">
        <v>1</v>
      </c>
      <c r="M298">
        <v>4</v>
      </c>
      <c r="N298">
        <v>3</v>
      </c>
      <c r="O298">
        <v>1</v>
      </c>
      <c r="P298" t="s">
        <v>36</v>
      </c>
    </row>
    <row r="299" spans="1:16" x14ac:dyDescent="0.25">
      <c r="A299" t="s">
        <v>576</v>
      </c>
      <c r="B299">
        <v>37</v>
      </c>
      <c r="C299" t="s">
        <v>18</v>
      </c>
      <c r="D299" t="s">
        <v>19</v>
      </c>
      <c r="E299" t="s">
        <v>20</v>
      </c>
      <c r="F299" t="s">
        <v>44</v>
      </c>
      <c r="G299" t="s">
        <v>577</v>
      </c>
      <c r="H299">
        <v>2</v>
      </c>
      <c r="I299">
        <v>6270</v>
      </c>
      <c r="J299">
        <v>1</v>
      </c>
      <c r="K299" t="s">
        <v>36</v>
      </c>
      <c r="L299">
        <v>1</v>
      </c>
      <c r="M299">
        <v>3</v>
      </c>
      <c r="N299">
        <v>3</v>
      </c>
      <c r="O299">
        <v>4</v>
      </c>
      <c r="P299" t="s">
        <v>36</v>
      </c>
    </row>
    <row r="300" spans="1:16" x14ac:dyDescent="0.25">
      <c r="A300" t="s">
        <v>1168</v>
      </c>
      <c r="B300">
        <v>45</v>
      </c>
      <c r="C300" t="s">
        <v>18</v>
      </c>
      <c r="D300" t="s">
        <v>19</v>
      </c>
      <c r="E300" t="s">
        <v>20</v>
      </c>
      <c r="F300" t="s">
        <v>44</v>
      </c>
      <c r="G300" t="s">
        <v>1127</v>
      </c>
      <c r="H300">
        <v>3</v>
      </c>
      <c r="I300">
        <v>6552</v>
      </c>
      <c r="J300">
        <v>1</v>
      </c>
      <c r="K300" t="s">
        <v>24</v>
      </c>
      <c r="L300">
        <v>4</v>
      </c>
      <c r="M300">
        <v>4</v>
      </c>
      <c r="N300">
        <v>3</v>
      </c>
      <c r="O300">
        <v>1</v>
      </c>
      <c r="P300" t="s">
        <v>24</v>
      </c>
    </row>
    <row r="301" spans="1:16" x14ac:dyDescent="0.25">
      <c r="A301" t="s">
        <v>1169</v>
      </c>
      <c r="B301">
        <v>20</v>
      </c>
      <c r="C301" t="s">
        <v>26</v>
      </c>
      <c r="D301" t="s">
        <v>19</v>
      </c>
      <c r="E301" t="s">
        <v>1151</v>
      </c>
      <c r="F301" t="s">
        <v>40</v>
      </c>
      <c r="G301" t="s">
        <v>208</v>
      </c>
      <c r="H301">
        <v>2</v>
      </c>
      <c r="I301">
        <v>4536</v>
      </c>
      <c r="J301">
        <v>16</v>
      </c>
      <c r="K301" t="s">
        <v>24</v>
      </c>
      <c r="M301">
        <v>4</v>
      </c>
      <c r="N301">
        <v>3</v>
      </c>
      <c r="O301">
        <v>1</v>
      </c>
      <c r="P301" t="s">
        <v>24</v>
      </c>
    </row>
    <row r="302" spans="1:16" x14ac:dyDescent="0.25">
      <c r="A302" t="s">
        <v>578</v>
      </c>
      <c r="B302">
        <v>23</v>
      </c>
      <c r="C302" t="s">
        <v>18</v>
      </c>
      <c r="D302" t="s">
        <v>33</v>
      </c>
      <c r="E302" t="s">
        <v>28</v>
      </c>
      <c r="F302" t="s">
        <v>64</v>
      </c>
      <c r="G302" t="s">
        <v>579</v>
      </c>
      <c r="H302">
        <v>1</v>
      </c>
      <c r="I302">
        <v>5167</v>
      </c>
      <c r="J302">
        <v>7</v>
      </c>
      <c r="K302" t="s">
        <v>24</v>
      </c>
      <c r="L302">
        <v>2</v>
      </c>
      <c r="M302">
        <v>3</v>
      </c>
      <c r="N302">
        <v>3</v>
      </c>
      <c r="O302">
        <v>0</v>
      </c>
      <c r="P302" t="s">
        <v>36</v>
      </c>
    </row>
    <row r="303" spans="1:16" x14ac:dyDescent="0.25">
      <c r="A303" t="s">
        <v>580</v>
      </c>
      <c r="B303">
        <v>37</v>
      </c>
      <c r="C303" t="s">
        <v>26</v>
      </c>
      <c r="D303" t="s">
        <v>27</v>
      </c>
      <c r="E303" t="s">
        <v>28</v>
      </c>
      <c r="F303" t="s">
        <v>59</v>
      </c>
      <c r="G303" t="s">
        <v>581</v>
      </c>
      <c r="H303">
        <v>3</v>
      </c>
      <c r="I303">
        <v>6978</v>
      </c>
      <c r="J303">
        <v>3</v>
      </c>
      <c r="K303" t="s">
        <v>36</v>
      </c>
      <c r="L303">
        <v>2</v>
      </c>
      <c r="M303">
        <v>4</v>
      </c>
      <c r="N303">
        <v>4</v>
      </c>
      <c r="O303">
        <v>5</v>
      </c>
      <c r="P303" t="s">
        <v>24</v>
      </c>
    </row>
    <row r="304" spans="1:16" x14ac:dyDescent="0.25">
      <c r="A304" t="s">
        <v>582</v>
      </c>
      <c r="B304">
        <v>26</v>
      </c>
      <c r="C304" t="s">
        <v>26</v>
      </c>
      <c r="D304" t="s">
        <v>33</v>
      </c>
      <c r="E304" t="s">
        <v>28</v>
      </c>
      <c r="F304" t="s">
        <v>59</v>
      </c>
      <c r="G304" t="s">
        <v>583</v>
      </c>
      <c r="H304">
        <v>3</v>
      </c>
      <c r="I304">
        <v>6322</v>
      </c>
      <c r="J304">
        <v>8</v>
      </c>
      <c r="K304" t="s">
        <v>24</v>
      </c>
      <c r="L304">
        <v>2</v>
      </c>
      <c r="M304">
        <v>2</v>
      </c>
      <c r="N304">
        <v>3</v>
      </c>
      <c r="O304">
        <v>3</v>
      </c>
      <c r="P304" t="s">
        <v>24</v>
      </c>
    </row>
    <row r="305" spans="1:16" x14ac:dyDescent="0.25">
      <c r="A305" t="s">
        <v>584</v>
      </c>
      <c r="B305">
        <v>37</v>
      </c>
      <c r="C305" t="s">
        <v>18</v>
      </c>
      <c r="D305" t="s">
        <v>33</v>
      </c>
      <c r="E305" t="s">
        <v>20</v>
      </c>
      <c r="F305" t="s">
        <v>40</v>
      </c>
      <c r="G305" t="s">
        <v>577</v>
      </c>
      <c r="H305">
        <v>2</v>
      </c>
      <c r="I305">
        <v>3770</v>
      </c>
      <c r="J305">
        <v>1</v>
      </c>
      <c r="K305" t="s">
        <v>36</v>
      </c>
      <c r="L305">
        <v>1</v>
      </c>
      <c r="M305">
        <v>2</v>
      </c>
      <c r="N305">
        <v>3</v>
      </c>
      <c r="O305">
        <v>5</v>
      </c>
      <c r="P305" t="s">
        <v>36</v>
      </c>
    </row>
    <row r="306" spans="1:16" x14ac:dyDescent="0.25">
      <c r="A306" t="s">
        <v>585</v>
      </c>
      <c r="B306">
        <v>36</v>
      </c>
      <c r="C306" t="s">
        <v>18</v>
      </c>
      <c r="D306" t="s">
        <v>33</v>
      </c>
      <c r="E306" t="s">
        <v>28</v>
      </c>
      <c r="F306" t="s">
        <v>34</v>
      </c>
      <c r="G306" t="s">
        <v>586</v>
      </c>
      <c r="H306">
        <v>0</v>
      </c>
      <c r="I306">
        <v>3452</v>
      </c>
      <c r="J306">
        <v>3</v>
      </c>
      <c r="K306" t="s">
        <v>24</v>
      </c>
      <c r="L306">
        <v>3</v>
      </c>
      <c r="M306">
        <v>3</v>
      </c>
      <c r="N306">
        <v>3</v>
      </c>
      <c r="O306">
        <v>3</v>
      </c>
      <c r="P306" t="s">
        <v>24</v>
      </c>
    </row>
    <row r="307" spans="1:16" x14ac:dyDescent="0.25">
      <c r="A307" t="s">
        <v>587</v>
      </c>
      <c r="B307">
        <v>20</v>
      </c>
      <c r="C307" t="s">
        <v>26</v>
      </c>
      <c r="D307" t="s">
        <v>33</v>
      </c>
      <c r="E307" t="s">
        <v>28</v>
      </c>
      <c r="F307" t="s">
        <v>59</v>
      </c>
      <c r="G307" t="s">
        <v>588</v>
      </c>
      <c r="H307">
        <v>2</v>
      </c>
      <c r="I307">
        <v>6982</v>
      </c>
      <c r="J307">
        <v>3</v>
      </c>
      <c r="K307" t="s">
        <v>24</v>
      </c>
      <c r="L307">
        <v>4</v>
      </c>
      <c r="M307">
        <v>1</v>
      </c>
      <c r="N307">
        <v>4</v>
      </c>
      <c r="O307">
        <v>3</v>
      </c>
      <c r="P307" t="s">
        <v>24</v>
      </c>
    </row>
    <row r="308" spans="1:16" x14ac:dyDescent="0.25">
      <c r="A308" t="s">
        <v>589</v>
      </c>
      <c r="B308">
        <v>37</v>
      </c>
      <c r="C308" t="s">
        <v>26</v>
      </c>
      <c r="D308" t="s">
        <v>33</v>
      </c>
      <c r="E308" t="s">
        <v>28</v>
      </c>
      <c r="F308" t="s">
        <v>34</v>
      </c>
      <c r="G308" t="s">
        <v>590</v>
      </c>
      <c r="H308">
        <v>1</v>
      </c>
      <c r="I308">
        <v>2184</v>
      </c>
      <c r="J308">
        <v>6</v>
      </c>
      <c r="K308" t="s">
        <v>36</v>
      </c>
      <c r="L308">
        <v>4</v>
      </c>
      <c r="M308">
        <v>2</v>
      </c>
      <c r="N308">
        <v>3</v>
      </c>
      <c r="O308">
        <v>0</v>
      </c>
      <c r="P308" t="s">
        <v>24</v>
      </c>
    </row>
    <row r="309" spans="1:16" x14ac:dyDescent="0.25">
      <c r="A309" t="s">
        <v>591</v>
      </c>
      <c r="B309">
        <v>25</v>
      </c>
      <c r="C309" t="s">
        <v>26</v>
      </c>
      <c r="D309" t="s">
        <v>33</v>
      </c>
      <c r="E309" t="s">
        <v>20</v>
      </c>
      <c r="F309" t="s">
        <v>40</v>
      </c>
      <c r="G309" t="s">
        <v>592</v>
      </c>
      <c r="H309">
        <v>1</v>
      </c>
      <c r="I309">
        <v>4909</v>
      </c>
      <c r="J309">
        <v>2</v>
      </c>
      <c r="K309" t="s">
        <v>24</v>
      </c>
      <c r="L309">
        <v>4</v>
      </c>
      <c r="M309">
        <v>3</v>
      </c>
      <c r="N309">
        <v>4</v>
      </c>
      <c r="O309">
        <v>2</v>
      </c>
      <c r="P309" t="s">
        <v>36</v>
      </c>
    </row>
    <row r="310" spans="1:16" x14ac:dyDescent="0.25">
      <c r="A310" t="s">
        <v>593</v>
      </c>
      <c r="B310">
        <v>40</v>
      </c>
      <c r="C310" t="s">
        <v>26</v>
      </c>
      <c r="D310" t="s">
        <v>27</v>
      </c>
      <c r="E310" t="s">
        <v>20</v>
      </c>
      <c r="F310" t="s">
        <v>40</v>
      </c>
      <c r="G310" t="s">
        <v>571</v>
      </c>
      <c r="H310">
        <v>0</v>
      </c>
      <c r="I310">
        <v>2811</v>
      </c>
      <c r="J310">
        <v>7</v>
      </c>
      <c r="K310" t="s">
        <v>24</v>
      </c>
      <c r="L310">
        <v>4</v>
      </c>
      <c r="M310">
        <v>1</v>
      </c>
      <c r="N310">
        <v>3</v>
      </c>
      <c r="O310">
        <v>2</v>
      </c>
      <c r="P310" t="s">
        <v>24</v>
      </c>
    </row>
    <row r="311" spans="1:16" x14ac:dyDescent="0.25">
      <c r="A311" t="s">
        <v>269</v>
      </c>
      <c r="B311">
        <v>32</v>
      </c>
      <c r="C311" t="s">
        <v>26</v>
      </c>
      <c r="D311" t="s">
        <v>33</v>
      </c>
      <c r="E311" t="s">
        <v>28</v>
      </c>
      <c r="F311" t="s">
        <v>29</v>
      </c>
      <c r="G311" t="s">
        <v>270</v>
      </c>
      <c r="H311">
        <v>3</v>
      </c>
      <c r="I311">
        <v>12064</v>
      </c>
      <c r="J311">
        <v>1</v>
      </c>
      <c r="K311" t="s">
        <v>24</v>
      </c>
      <c r="L311">
        <v>3</v>
      </c>
      <c r="M311">
        <v>2</v>
      </c>
      <c r="N311">
        <v>3</v>
      </c>
      <c r="O311">
        <v>3</v>
      </c>
      <c r="P311" t="s">
        <v>24</v>
      </c>
    </row>
    <row r="312" spans="1:16" x14ac:dyDescent="0.25">
      <c r="A312" t="s">
        <v>594</v>
      </c>
      <c r="B312">
        <v>34</v>
      </c>
      <c r="C312" t="s">
        <v>18</v>
      </c>
      <c r="D312" t="s">
        <v>19</v>
      </c>
      <c r="E312" t="s">
        <v>28</v>
      </c>
      <c r="F312" t="s">
        <v>34</v>
      </c>
      <c r="G312" t="s">
        <v>595</v>
      </c>
      <c r="H312">
        <v>0</v>
      </c>
      <c r="I312">
        <v>2614</v>
      </c>
      <c r="J312">
        <v>3</v>
      </c>
      <c r="K312" t="s">
        <v>36</v>
      </c>
      <c r="L312">
        <v>4</v>
      </c>
      <c r="M312">
        <v>2</v>
      </c>
      <c r="N312">
        <v>3</v>
      </c>
      <c r="O312">
        <v>5</v>
      </c>
      <c r="P312" t="s">
        <v>36</v>
      </c>
    </row>
    <row r="313" spans="1:16" x14ac:dyDescent="0.25">
      <c r="A313" t="s">
        <v>596</v>
      </c>
      <c r="B313">
        <v>42</v>
      </c>
      <c r="C313" t="s">
        <v>18</v>
      </c>
      <c r="D313" t="s">
        <v>33</v>
      </c>
      <c r="E313" t="s">
        <v>28</v>
      </c>
      <c r="F313" t="s">
        <v>34</v>
      </c>
      <c r="G313" t="s">
        <v>597</v>
      </c>
      <c r="H313">
        <v>6</v>
      </c>
      <c r="I313">
        <v>3217</v>
      </c>
      <c r="J313">
        <v>7</v>
      </c>
      <c r="K313" t="s">
        <v>24</v>
      </c>
      <c r="L313">
        <v>1</v>
      </c>
      <c r="M313">
        <v>4</v>
      </c>
      <c r="N313">
        <v>3</v>
      </c>
      <c r="O313">
        <v>0</v>
      </c>
      <c r="P313" t="s">
        <v>36</v>
      </c>
    </row>
    <row r="314" spans="1:16" x14ac:dyDescent="0.25">
      <c r="A314" t="s">
        <v>1170</v>
      </c>
      <c r="B314">
        <v>23</v>
      </c>
      <c r="C314" t="s">
        <v>18</v>
      </c>
      <c r="D314" t="s">
        <v>27</v>
      </c>
      <c r="E314" t="s">
        <v>28</v>
      </c>
      <c r="F314" t="s">
        <v>29</v>
      </c>
      <c r="G314" t="s">
        <v>1171</v>
      </c>
      <c r="H314">
        <v>1</v>
      </c>
      <c r="J314">
        <v>18</v>
      </c>
      <c r="K314" t="s">
        <v>24</v>
      </c>
      <c r="L314">
        <v>3</v>
      </c>
      <c r="M314">
        <v>2</v>
      </c>
      <c r="N314">
        <v>3</v>
      </c>
      <c r="O314">
        <v>0</v>
      </c>
      <c r="P314" t="s">
        <v>24</v>
      </c>
    </row>
    <row r="315" spans="1:16" x14ac:dyDescent="0.25">
      <c r="A315" t="s">
        <v>598</v>
      </c>
      <c r="B315">
        <v>30</v>
      </c>
      <c r="C315" t="s">
        <v>26</v>
      </c>
      <c r="D315" t="s">
        <v>19</v>
      </c>
      <c r="E315" t="s">
        <v>20</v>
      </c>
      <c r="F315" t="s">
        <v>44</v>
      </c>
      <c r="G315" t="s">
        <v>599</v>
      </c>
      <c r="H315">
        <v>3</v>
      </c>
      <c r="I315">
        <v>7470</v>
      </c>
      <c r="J315">
        <v>11</v>
      </c>
      <c r="K315" t="s">
        <v>24</v>
      </c>
      <c r="L315">
        <v>4</v>
      </c>
      <c r="M315">
        <v>4</v>
      </c>
      <c r="N315">
        <v>3</v>
      </c>
      <c r="O315">
        <v>3</v>
      </c>
      <c r="P315" t="s">
        <v>24</v>
      </c>
    </row>
    <row r="316" spans="1:16" x14ac:dyDescent="0.25">
      <c r="A316" t="s">
        <v>600</v>
      </c>
      <c r="B316">
        <v>30</v>
      </c>
      <c r="C316" t="s">
        <v>18</v>
      </c>
      <c r="D316" t="s">
        <v>19</v>
      </c>
      <c r="E316" t="s">
        <v>110</v>
      </c>
      <c r="F316" t="s">
        <v>128</v>
      </c>
      <c r="G316" t="s">
        <v>601</v>
      </c>
      <c r="H316">
        <v>2</v>
      </c>
      <c r="I316">
        <v>9519</v>
      </c>
      <c r="J316">
        <v>7</v>
      </c>
      <c r="K316" t="s">
        <v>36</v>
      </c>
      <c r="L316">
        <v>1</v>
      </c>
      <c r="M316">
        <v>4</v>
      </c>
      <c r="N316">
        <v>4</v>
      </c>
      <c r="O316">
        <v>2</v>
      </c>
      <c r="P316" t="s">
        <v>24</v>
      </c>
    </row>
    <row r="317" spans="1:16" x14ac:dyDescent="0.25">
      <c r="A317" t="s">
        <v>602</v>
      </c>
      <c r="B317">
        <v>31</v>
      </c>
      <c r="C317" t="s">
        <v>18</v>
      </c>
      <c r="D317" t="s">
        <v>33</v>
      </c>
      <c r="E317" t="s">
        <v>28</v>
      </c>
      <c r="F317" t="s">
        <v>34</v>
      </c>
      <c r="G317" t="s">
        <v>603</v>
      </c>
      <c r="H317">
        <v>0</v>
      </c>
      <c r="I317">
        <v>3307</v>
      </c>
      <c r="J317">
        <v>1</v>
      </c>
      <c r="K317" t="s">
        <v>24</v>
      </c>
      <c r="L317">
        <v>3</v>
      </c>
      <c r="M317">
        <v>3</v>
      </c>
      <c r="N317">
        <v>3</v>
      </c>
      <c r="O317">
        <v>3</v>
      </c>
      <c r="P317" t="s">
        <v>24</v>
      </c>
    </row>
    <row r="318" spans="1:16" x14ac:dyDescent="0.25">
      <c r="A318" t="s">
        <v>604</v>
      </c>
      <c r="B318">
        <v>46</v>
      </c>
      <c r="C318" t="s">
        <v>18</v>
      </c>
      <c r="D318" t="s">
        <v>33</v>
      </c>
      <c r="E318" t="s">
        <v>28</v>
      </c>
      <c r="F318" t="s">
        <v>64</v>
      </c>
      <c r="G318" t="s">
        <v>592</v>
      </c>
      <c r="H318">
        <v>1</v>
      </c>
      <c r="I318">
        <v>5746</v>
      </c>
      <c r="J318">
        <v>2</v>
      </c>
      <c r="K318" t="s">
        <v>24</v>
      </c>
      <c r="L318">
        <v>3</v>
      </c>
      <c r="M318">
        <v>4</v>
      </c>
      <c r="N318">
        <v>3</v>
      </c>
      <c r="O318">
        <v>3</v>
      </c>
      <c r="P318" t="s">
        <v>24</v>
      </c>
    </row>
    <row r="319" spans="1:16" x14ac:dyDescent="0.25">
      <c r="A319" t="s">
        <v>605</v>
      </c>
      <c r="B319">
        <v>34</v>
      </c>
      <c r="C319" t="s">
        <v>18</v>
      </c>
      <c r="D319" t="s">
        <v>33</v>
      </c>
      <c r="E319" t="s">
        <v>28</v>
      </c>
      <c r="F319" t="s">
        <v>59</v>
      </c>
      <c r="G319" t="s">
        <v>112</v>
      </c>
      <c r="H319">
        <v>4</v>
      </c>
      <c r="I319">
        <v>5204</v>
      </c>
      <c r="J319">
        <v>7</v>
      </c>
      <c r="K319" t="s">
        <v>24</v>
      </c>
      <c r="L319">
        <v>2</v>
      </c>
      <c r="M319">
        <v>2</v>
      </c>
      <c r="N319">
        <v>3</v>
      </c>
      <c r="O319">
        <v>4</v>
      </c>
      <c r="P319" t="s">
        <v>36</v>
      </c>
    </row>
    <row r="320" spans="1:16" x14ac:dyDescent="0.25">
      <c r="A320" t="s">
        <v>606</v>
      </c>
      <c r="B320">
        <v>34</v>
      </c>
      <c r="C320" t="s">
        <v>18</v>
      </c>
      <c r="D320" t="s">
        <v>33</v>
      </c>
      <c r="E320" t="s">
        <v>20</v>
      </c>
      <c r="F320" t="s">
        <v>44</v>
      </c>
      <c r="G320" t="s">
        <v>607</v>
      </c>
      <c r="H320">
        <v>1</v>
      </c>
      <c r="I320">
        <v>6299</v>
      </c>
      <c r="J320">
        <v>4</v>
      </c>
      <c r="K320" t="s">
        <v>36</v>
      </c>
      <c r="L320">
        <v>1</v>
      </c>
      <c r="M320">
        <v>2</v>
      </c>
      <c r="N320">
        <v>4</v>
      </c>
      <c r="O320">
        <v>3</v>
      </c>
      <c r="P320" t="s">
        <v>24</v>
      </c>
    </row>
    <row r="321" spans="1:16" x14ac:dyDescent="0.25">
      <c r="A321" t="s">
        <v>1172</v>
      </c>
      <c r="B321">
        <v>37</v>
      </c>
      <c r="C321" t="s">
        <v>18</v>
      </c>
      <c r="D321" t="s">
        <v>33</v>
      </c>
      <c r="E321" t="s">
        <v>28</v>
      </c>
      <c r="F321" t="s">
        <v>29</v>
      </c>
      <c r="G321" t="s">
        <v>1173</v>
      </c>
      <c r="H321">
        <v>0</v>
      </c>
      <c r="I321">
        <v>12307</v>
      </c>
      <c r="J321">
        <v>2</v>
      </c>
      <c r="K321" t="s">
        <v>24</v>
      </c>
      <c r="M321">
        <v>4</v>
      </c>
      <c r="N321">
        <v>3</v>
      </c>
      <c r="O321">
        <v>4</v>
      </c>
      <c r="P321" t="s">
        <v>24</v>
      </c>
    </row>
    <row r="322" spans="1:16" x14ac:dyDescent="0.25">
      <c r="A322" t="s">
        <v>608</v>
      </c>
      <c r="B322">
        <v>49</v>
      </c>
      <c r="C322" t="s">
        <v>26</v>
      </c>
      <c r="D322" t="s">
        <v>19</v>
      </c>
      <c r="E322" t="s">
        <v>110</v>
      </c>
      <c r="F322" t="s">
        <v>189</v>
      </c>
      <c r="G322" t="s">
        <v>609</v>
      </c>
      <c r="H322">
        <v>2</v>
      </c>
      <c r="I322">
        <v>4629</v>
      </c>
      <c r="J322">
        <v>2</v>
      </c>
      <c r="K322" t="s">
        <v>36</v>
      </c>
      <c r="L322">
        <v>1</v>
      </c>
      <c r="M322">
        <v>2</v>
      </c>
      <c r="N322">
        <v>4</v>
      </c>
      <c r="O322">
        <v>0</v>
      </c>
      <c r="P322" t="s">
        <v>36</v>
      </c>
    </row>
    <row r="323" spans="1:16" x14ac:dyDescent="0.25">
      <c r="A323" t="s">
        <v>610</v>
      </c>
      <c r="B323">
        <v>33</v>
      </c>
      <c r="C323" t="s">
        <v>26</v>
      </c>
      <c r="D323" t="s">
        <v>19</v>
      </c>
      <c r="E323" t="s">
        <v>20</v>
      </c>
      <c r="F323" t="s">
        <v>21</v>
      </c>
      <c r="G323" t="s">
        <v>611</v>
      </c>
      <c r="H323">
        <v>0</v>
      </c>
      <c r="I323">
        <v>11837</v>
      </c>
      <c r="J323">
        <v>12</v>
      </c>
      <c r="K323" t="s">
        <v>24</v>
      </c>
      <c r="L323">
        <v>4</v>
      </c>
      <c r="M323">
        <v>4</v>
      </c>
      <c r="N323">
        <v>3</v>
      </c>
      <c r="O323">
        <v>4</v>
      </c>
      <c r="P323" t="s">
        <v>24</v>
      </c>
    </row>
    <row r="324" spans="1:16" x14ac:dyDescent="0.25">
      <c r="A324" t="s">
        <v>612</v>
      </c>
      <c r="B324">
        <v>25</v>
      </c>
      <c r="C324" t="s">
        <v>26</v>
      </c>
      <c r="D324" t="s">
        <v>27</v>
      </c>
      <c r="E324" t="s">
        <v>20</v>
      </c>
      <c r="F324" t="s">
        <v>40</v>
      </c>
      <c r="G324" t="s">
        <v>454</v>
      </c>
      <c r="H324">
        <v>1</v>
      </c>
      <c r="I324">
        <v>3405</v>
      </c>
      <c r="J324">
        <v>6</v>
      </c>
      <c r="K324" t="s">
        <v>24</v>
      </c>
      <c r="L324">
        <v>1</v>
      </c>
      <c r="M324">
        <v>3</v>
      </c>
      <c r="N324">
        <v>4</v>
      </c>
      <c r="O324">
        <v>5</v>
      </c>
      <c r="P324" t="s">
        <v>24</v>
      </c>
    </row>
    <row r="325" spans="1:16" x14ac:dyDescent="0.25">
      <c r="A325" t="s">
        <v>1044</v>
      </c>
      <c r="B325">
        <v>46</v>
      </c>
      <c r="C325" t="s">
        <v>26</v>
      </c>
      <c r="D325" t="s">
        <v>33</v>
      </c>
      <c r="E325" t="s">
        <v>28</v>
      </c>
      <c r="F325" t="s">
        <v>64</v>
      </c>
      <c r="G325" t="s">
        <v>1045</v>
      </c>
      <c r="H325">
        <v>1</v>
      </c>
      <c r="I325">
        <v>6359</v>
      </c>
      <c r="J325">
        <v>17</v>
      </c>
      <c r="K325" t="s">
        <v>24</v>
      </c>
      <c r="L325">
        <v>3</v>
      </c>
      <c r="N325">
        <v>3</v>
      </c>
      <c r="O325">
        <v>4</v>
      </c>
      <c r="P325" t="s">
        <v>24</v>
      </c>
    </row>
    <row r="326" spans="1:16" x14ac:dyDescent="0.25">
      <c r="A326" t="s">
        <v>613</v>
      </c>
      <c r="B326">
        <v>23</v>
      </c>
      <c r="C326" t="s">
        <v>18</v>
      </c>
      <c r="D326" t="s">
        <v>19</v>
      </c>
      <c r="E326" t="s">
        <v>28</v>
      </c>
      <c r="F326" t="s">
        <v>64</v>
      </c>
      <c r="G326" t="s">
        <v>614</v>
      </c>
      <c r="H326">
        <v>1</v>
      </c>
      <c r="I326">
        <v>5139</v>
      </c>
      <c r="J326">
        <v>2</v>
      </c>
      <c r="K326" t="s">
        <v>24</v>
      </c>
      <c r="L326">
        <v>2</v>
      </c>
      <c r="M326">
        <v>3</v>
      </c>
      <c r="N326">
        <v>3</v>
      </c>
      <c r="O326">
        <v>1</v>
      </c>
      <c r="P326" t="s">
        <v>24</v>
      </c>
    </row>
    <row r="327" spans="1:16" x14ac:dyDescent="0.25">
      <c r="A327" t="s">
        <v>615</v>
      </c>
      <c r="B327">
        <v>26</v>
      </c>
      <c r="C327" t="s">
        <v>18</v>
      </c>
      <c r="D327" t="s">
        <v>33</v>
      </c>
      <c r="E327" t="s">
        <v>20</v>
      </c>
      <c r="F327" t="s">
        <v>44</v>
      </c>
      <c r="G327" t="s">
        <v>616</v>
      </c>
      <c r="H327">
        <v>25</v>
      </c>
      <c r="I327">
        <v>6771</v>
      </c>
      <c r="J327">
        <v>19</v>
      </c>
      <c r="K327" t="s">
        <v>36</v>
      </c>
      <c r="L327">
        <v>1</v>
      </c>
      <c r="M327">
        <v>3</v>
      </c>
      <c r="N327">
        <v>3</v>
      </c>
      <c r="O327">
        <v>3</v>
      </c>
      <c r="P327" t="s">
        <v>24</v>
      </c>
    </row>
    <row r="328" spans="1:16" x14ac:dyDescent="0.25">
      <c r="A328" t="s">
        <v>617</v>
      </c>
      <c r="B328">
        <v>32</v>
      </c>
      <c r="C328" t="s">
        <v>26</v>
      </c>
      <c r="D328" t="s">
        <v>33</v>
      </c>
      <c r="E328" t="s">
        <v>1130</v>
      </c>
      <c r="F328" t="s">
        <v>64</v>
      </c>
      <c r="G328" t="s">
        <v>618</v>
      </c>
      <c r="H328">
        <v>0</v>
      </c>
      <c r="I328">
        <v>5071</v>
      </c>
      <c r="J328">
        <v>2</v>
      </c>
      <c r="K328" t="s">
        <v>24</v>
      </c>
      <c r="L328">
        <v>4</v>
      </c>
      <c r="M328">
        <v>3</v>
      </c>
      <c r="N328">
        <v>3</v>
      </c>
      <c r="O328">
        <v>0</v>
      </c>
      <c r="P328" t="s">
        <v>24</v>
      </c>
    </row>
    <row r="329" spans="1:16" x14ac:dyDescent="0.25">
      <c r="A329" t="s">
        <v>619</v>
      </c>
      <c r="B329">
        <v>20</v>
      </c>
      <c r="C329" t="s">
        <v>26</v>
      </c>
      <c r="D329" t="s">
        <v>27</v>
      </c>
      <c r="E329" t="s">
        <v>28</v>
      </c>
      <c r="F329" t="s">
        <v>34</v>
      </c>
      <c r="G329" t="s">
        <v>620</v>
      </c>
      <c r="H329">
        <v>8</v>
      </c>
      <c r="I329">
        <v>3822</v>
      </c>
      <c r="J329">
        <v>4</v>
      </c>
      <c r="K329" t="s">
        <v>24</v>
      </c>
      <c r="L329">
        <v>4</v>
      </c>
      <c r="M329">
        <v>3</v>
      </c>
      <c r="N329">
        <v>3</v>
      </c>
      <c r="O329">
        <v>0</v>
      </c>
      <c r="P329" t="s">
        <v>24</v>
      </c>
    </row>
    <row r="330" spans="1:16" x14ac:dyDescent="0.25">
      <c r="A330" t="s">
        <v>621</v>
      </c>
      <c r="B330">
        <v>35</v>
      </c>
      <c r="C330" t="s">
        <v>26</v>
      </c>
      <c r="D330" t="s">
        <v>27</v>
      </c>
      <c r="E330" t="s">
        <v>28</v>
      </c>
      <c r="F330" t="s">
        <v>64</v>
      </c>
      <c r="G330" t="s">
        <v>622</v>
      </c>
      <c r="H330">
        <v>3</v>
      </c>
      <c r="I330">
        <v>5213</v>
      </c>
      <c r="J330">
        <v>12</v>
      </c>
      <c r="K330" t="s">
        <v>24</v>
      </c>
      <c r="L330">
        <v>4</v>
      </c>
      <c r="M330">
        <v>2</v>
      </c>
      <c r="N330">
        <v>3</v>
      </c>
      <c r="O330">
        <v>3</v>
      </c>
      <c r="P330" t="s">
        <v>24</v>
      </c>
    </row>
    <row r="331" spans="1:16" x14ac:dyDescent="0.25">
      <c r="A331" t="s">
        <v>623</v>
      </c>
      <c r="B331">
        <v>20</v>
      </c>
      <c r="C331" t="s">
        <v>18</v>
      </c>
      <c r="D331" t="s">
        <v>33</v>
      </c>
      <c r="E331" t="s">
        <v>28</v>
      </c>
      <c r="F331" t="s">
        <v>64</v>
      </c>
      <c r="G331" t="s">
        <v>624</v>
      </c>
      <c r="H331">
        <v>2</v>
      </c>
      <c r="I331">
        <v>5761</v>
      </c>
      <c r="J331">
        <v>20</v>
      </c>
      <c r="K331" t="s">
        <v>24</v>
      </c>
      <c r="L331">
        <v>1</v>
      </c>
      <c r="M331">
        <v>4</v>
      </c>
      <c r="N331">
        <v>3</v>
      </c>
      <c r="O331">
        <v>0</v>
      </c>
      <c r="P331" t="s">
        <v>24</v>
      </c>
    </row>
    <row r="332" spans="1:16" x14ac:dyDescent="0.25">
      <c r="A332" t="s">
        <v>625</v>
      </c>
      <c r="B332">
        <v>31</v>
      </c>
      <c r="C332" t="s">
        <v>26</v>
      </c>
      <c r="D332" t="s">
        <v>19</v>
      </c>
      <c r="E332" t="s">
        <v>28</v>
      </c>
      <c r="F332" t="s">
        <v>29</v>
      </c>
      <c r="G332" t="s">
        <v>626</v>
      </c>
      <c r="H332">
        <v>0</v>
      </c>
      <c r="I332">
        <v>11654</v>
      </c>
      <c r="J332">
        <v>2</v>
      </c>
      <c r="K332" t="s">
        <v>24</v>
      </c>
      <c r="L332">
        <v>2</v>
      </c>
      <c r="M332">
        <v>2</v>
      </c>
      <c r="N332">
        <v>3</v>
      </c>
      <c r="O332">
        <v>1</v>
      </c>
      <c r="P332" t="s">
        <v>24</v>
      </c>
    </row>
    <row r="333" spans="1:16" x14ac:dyDescent="0.25">
      <c r="A333" t="s">
        <v>627</v>
      </c>
      <c r="B333">
        <v>26</v>
      </c>
      <c r="C333" t="s">
        <v>26</v>
      </c>
      <c r="D333" t="s">
        <v>19</v>
      </c>
      <c r="E333" t="s">
        <v>20</v>
      </c>
      <c r="F333" t="s">
        <v>21</v>
      </c>
      <c r="G333" t="s">
        <v>628</v>
      </c>
      <c r="H333">
        <v>0</v>
      </c>
      <c r="I333">
        <v>12139</v>
      </c>
      <c r="J333">
        <v>1</v>
      </c>
      <c r="K333" t="s">
        <v>24</v>
      </c>
      <c r="L333">
        <v>3</v>
      </c>
      <c r="M333">
        <v>3</v>
      </c>
      <c r="N333">
        <v>3</v>
      </c>
      <c r="O333">
        <v>3</v>
      </c>
      <c r="P333" t="s">
        <v>24</v>
      </c>
    </row>
    <row r="334" spans="1:16" x14ac:dyDescent="0.25">
      <c r="A334" t="s">
        <v>629</v>
      </c>
      <c r="B334">
        <v>50</v>
      </c>
      <c r="C334" t="s">
        <v>18</v>
      </c>
      <c r="D334" t="s">
        <v>19</v>
      </c>
      <c r="E334" t="s">
        <v>28</v>
      </c>
      <c r="F334" t="s">
        <v>64</v>
      </c>
      <c r="G334" t="s">
        <v>630</v>
      </c>
      <c r="H334">
        <v>0</v>
      </c>
      <c r="I334">
        <v>4655</v>
      </c>
      <c r="J334">
        <v>19</v>
      </c>
      <c r="K334" t="s">
        <v>24</v>
      </c>
      <c r="L334">
        <v>3</v>
      </c>
      <c r="M334">
        <v>2</v>
      </c>
      <c r="N334">
        <v>3</v>
      </c>
      <c r="O334">
        <v>2</v>
      </c>
      <c r="P334" t="s">
        <v>36</v>
      </c>
    </row>
    <row r="335" spans="1:16" x14ac:dyDescent="0.25">
      <c r="A335" t="s">
        <v>631</v>
      </c>
      <c r="B335">
        <v>29</v>
      </c>
      <c r="C335" t="s">
        <v>18</v>
      </c>
      <c r="D335" t="s">
        <v>33</v>
      </c>
      <c r="E335" t="s">
        <v>20</v>
      </c>
      <c r="F335" t="s">
        <v>21</v>
      </c>
      <c r="G335" t="s">
        <v>632</v>
      </c>
      <c r="H335">
        <v>6</v>
      </c>
      <c r="I335">
        <v>12834</v>
      </c>
      <c r="J335">
        <v>6</v>
      </c>
      <c r="K335" t="s">
        <v>24</v>
      </c>
      <c r="L335">
        <v>2</v>
      </c>
      <c r="M335">
        <v>3</v>
      </c>
      <c r="N335">
        <v>4</v>
      </c>
      <c r="O335">
        <v>0</v>
      </c>
      <c r="P335" t="s">
        <v>24</v>
      </c>
    </row>
    <row r="336" spans="1:16" x14ac:dyDescent="0.25">
      <c r="A336" t="s">
        <v>633</v>
      </c>
      <c r="B336">
        <v>38</v>
      </c>
      <c r="C336" t="s">
        <v>26</v>
      </c>
      <c r="D336" t="s">
        <v>27</v>
      </c>
      <c r="E336" t="s">
        <v>20</v>
      </c>
      <c r="F336" t="s">
        <v>21</v>
      </c>
      <c r="G336" t="s">
        <v>634</v>
      </c>
      <c r="H336">
        <v>1</v>
      </c>
      <c r="I336">
        <v>12249</v>
      </c>
      <c r="J336">
        <v>2</v>
      </c>
      <c r="K336" t="s">
        <v>36</v>
      </c>
      <c r="L336">
        <v>3</v>
      </c>
      <c r="M336">
        <v>3</v>
      </c>
      <c r="N336">
        <v>3</v>
      </c>
      <c r="O336">
        <v>0</v>
      </c>
      <c r="P336" t="s">
        <v>24</v>
      </c>
    </row>
    <row r="337" spans="1:16" x14ac:dyDescent="0.25">
      <c r="A337" t="s">
        <v>1174</v>
      </c>
      <c r="B337">
        <v>37</v>
      </c>
      <c r="C337" t="s">
        <v>26</v>
      </c>
      <c r="D337" t="s">
        <v>19</v>
      </c>
      <c r="E337" t="s">
        <v>28</v>
      </c>
      <c r="F337" t="s">
        <v>64</v>
      </c>
      <c r="G337" t="s">
        <v>1175</v>
      </c>
      <c r="H337">
        <v>2</v>
      </c>
      <c r="I337">
        <v>4864</v>
      </c>
      <c r="J337">
        <v>26</v>
      </c>
      <c r="K337" t="s">
        <v>24</v>
      </c>
      <c r="M337">
        <v>2</v>
      </c>
      <c r="N337">
        <v>4</v>
      </c>
      <c r="O337">
        <v>1</v>
      </c>
      <c r="P337" t="s">
        <v>24</v>
      </c>
    </row>
    <row r="338" spans="1:16" x14ac:dyDescent="0.25">
      <c r="A338" t="s">
        <v>1176</v>
      </c>
      <c r="B338">
        <v>53</v>
      </c>
      <c r="C338" t="s">
        <v>26</v>
      </c>
      <c r="D338" t="s">
        <v>27</v>
      </c>
      <c r="E338" t="s">
        <v>28</v>
      </c>
      <c r="F338" t="s">
        <v>29</v>
      </c>
      <c r="G338" t="s">
        <v>1177</v>
      </c>
      <c r="H338">
        <v>3</v>
      </c>
      <c r="J338">
        <v>3</v>
      </c>
      <c r="K338" t="s">
        <v>24</v>
      </c>
      <c r="L338">
        <v>1</v>
      </c>
      <c r="M338">
        <v>2</v>
      </c>
      <c r="N338">
        <v>3</v>
      </c>
      <c r="O338">
        <v>2</v>
      </c>
      <c r="P338" t="s">
        <v>36</v>
      </c>
    </row>
    <row r="339" spans="1:16" x14ac:dyDescent="0.25">
      <c r="A339" t="s">
        <v>635</v>
      </c>
      <c r="B339">
        <v>36</v>
      </c>
      <c r="C339" t="s">
        <v>18</v>
      </c>
      <c r="D339" t="s">
        <v>33</v>
      </c>
      <c r="E339" t="s">
        <v>28</v>
      </c>
      <c r="F339" t="s">
        <v>34</v>
      </c>
      <c r="G339" t="s">
        <v>636</v>
      </c>
      <c r="H339">
        <v>6</v>
      </c>
      <c r="I339">
        <v>3928</v>
      </c>
      <c r="J339">
        <v>18</v>
      </c>
      <c r="K339" t="s">
        <v>24</v>
      </c>
      <c r="L339">
        <v>1</v>
      </c>
      <c r="M339">
        <v>4</v>
      </c>
      <c r="N339">
        <v>3</v>
      </c>
      <c r="O339">
        <v>4</v>
      </c>
      <c r="P339" t="s">
        <v>36</v>
      </c>
    </row>
    <row r="340" spans="1:16" x14ac:dyDescent="0.25">
      <c r="A340" t="s">
        <v>637</v>
      </c>
      <c r="B340">
        <v>29</v>
      </c>
      <c r="C340" t="s">
        <v>18</v>
      </c>
      <c r="D340" t="s">
        <v>19</v>
      </c>
      <c r="E340" t="s">
        <v>20</v>
      </c>
      <c r="F340" t="s">
        <v>44</v>
      </c>
      <c r="G340" t="s">
        <v>638</v>
      </c>
      <c r="H340">
        <v>7</v>
      </c>
      <c r="I340">
        <v>6532</v>
      </c>
      <c r="J340">
        <v>19</v>
      </c>
      <c r="K340" t="s">
        <v>24</v>
      </c>
      <c r="L340">
        <v>3</v>
      </c>
      <c r="M340">
        <v>3</v>
      </c>
      <c r="N340">
        <v>3</v>
      </c>
      <c r="O340">
        <v>5</v>
      </c>
      <c r="P340" t="s">
        <v>24</v>
      </c>
    </row>
    <row r="341" spans="1:16" x14ac:dyDescent="0.25">
      <c r="A341" t="s">
        <v>639</v>
      </c>
      <c r="B341">
        <v>40</v>
      </c>
      <c r="C341" t="s">
        <v>26</v>
      </c>
      <c r="D341" t="s">
        <v>19</v>
      </c>
      <c r="E341" t="s">
        <v>28</v>
      </c>
      <c r="F341" t="s">
        <v>34</v>
      </c>
      <c r="G341" t="s">
        <v>640</v>
      </c>
      <c r="H341">
        <v>0</v>
      </c>
      <c r="I341">
        <v>3439</v>
      </c>
      <c r="J341">
        <v>14</v>
      </c>
      <c r="K341" t="s">
        <v>24</v>
      </c>
      <c r="L341">
        <v>2</v>
      </c>
      <c r="M341">
        <v>1</v>
      </c>
      <c r="N341">
        <v>3</v>
      </c>
      <c r="O341">
        <v>3</v>
      </c>
      <c r="P341" t="s">
        <v>36</v>
      </c>
    </row>
    <row r="342" spans="1:16" x14ac:dyDescent="0.25">
      <c r="A342" t="s">
        <v>641</v>
      </c>
      <c r="B342">
        <v>40</v>
      </c>
      <c r="C342" t="s">
        <v>26</v>
      </c>
      <c r="D342" t="s">
        <v>33</v>
      </c>
      <c r="E342" t="s">
        <v>28</v>
      </c>
      <c r="F342" t="s">
        <v>59</v>
      </c>
      <c r="G342" t="s">
        <v>642</v>
      </c>
      <c r="H342">
        <v>5</v>
      </c>
      <c r="I342">
        <v>5440</v>
      </c>
      <c r="J342">
        <v>4</v>
      </c>
      <c r="K342" t="s">
        <v>36</v>
      </c>
      <c r="L342">
        <v>4</v>
      </c>
      <c r="M342">
        <v>3</v>
      </c>
      <c r="N342">
        <v>3</v>
      </c>
      <c r="O342">
        <v>2</v>
      </c>
      <c r="P342" t="s">
        <v>24</v>
      </c>
    </row>
    <row r="343" spans="1:16" x14ac:dyDescent="0.25">
      <c r="A343" t="s">
        <v>643</v>
      </c>
      <c r="B343">
        <v>37</v>
      </c>
      <c r="C343" t="s">
        <v>18</v>
      </c>
      <c r="D343" t="s">
        <v>33</v>
      </c>
      <c r="E343" t="s">
        <v>110</v>
      </c>
      <c r="F343" t="s">
        <v>128</v>
      </c>
      <c r="G343" t="s">
        <v>644</v>
      </c>
      <c r="H343">
        <v>3</v>
      </c>
      <c r="I343">
        <v>9092</v>
      </c>
      <c r="J343">
        <v>12</v>
      </c>
      <c r="K343" t="s">
        <v>36</v>
      </c>
      <c r="L343">
        <v>1</v>
      </c>
      <c r="M343">
        <v>4</v>
      </c>
      <c r="N343">
        <v>4</v>
      </c>
      <c r="O343">
        <v>2</v>
      </c>
      <c r="P343" t="s">
        <v>24</v>
      </c>
    </row>
    <row r="344" spans="1:16" x14ac:dyDescent="0.25">
      <c r="A344" t="s">
        <v>645</v>
      </c>
      <c r="B344">
        <v>25</v>
      </c>
      <c r="C344" t="s">
        <v>18</v>
      </c>
      <c r="D344" t="s">
        <v>33</v>
      </c>
      <c r="E344" t="s">
        <v>1123</v>
      </c>
      <c r="F344" t="s">
        <v>40</v>
      </c>
      <c r="G344" t="s">
        <v>646</v>
      </c>
      <c r="H344">
        <v>1</v>
      </c>
      <c r="I344">
        <v>4114</v>
      </c>
      <c r="J344">
        <v>1</v>
      </c>
      <c r="K344" t="s">
        <v>24</v>
      </c>
      <c r="L344">
        <v>4</v>
      </c>
      <c r="M344">
        <v>4</v>
      </c>
      <c r="N344">
        <v>4</v>
      </c>
      <c r="O344">
        <v>1</v>
      </c>
      <c r="P344" t="s">
        <v>36</v>
      </c>
    </row>
    <row r="345" spans="1:16" x14ac:dyDescent="0.25">
      <c r="A345" t="s">
        <v>647</v>
      </c>
      <c r="B345">
        <v>35</v>
      </c>
      <c r="C345" t="s">
        <v>18</v>
      </c>
      <c r="D345" t="s">
        <v>33</v>
      </c>
      <c r="E345" t="s">
        <v>28</v>
      </c>
      <c r="F345" t="s">
        <v>64</v>
      </c>
      <c r="G345" t="s">
        <v>648</v>
      </c>
      <c r="H345">
        <v>3</v>
      </c>
      <c r="I345">
        <v>4633</v>
      </c>
      <c r="J345">
        <v>1</v>
      </c>
      <c r="K345" t="s">
        <v>24</v>
      </c>
      <c r="L345">
        <v>2</v>
      </c>
      <c r="M345">
        <v>4</v>
      </c>
      <c r="N345">
        <v>3</v>
      </c>
      <c r="O345">
        <v>4</v>
      </c>
      <c r="P345" t="s">
        <v>36</v>
      </c>
    </row>
    <row r="346" spans="1:16" x14ac:dyDescent="0.25">
      <c r="A346" t="s">
        <v>649</v>
      </c>
      <c r="B346">
        <v>40</v>
      </c>
      <c r="C346" t="s">
        <v>26</v>
      </c>
      <c r="D346" t="s">
        <v>27</v>
      </c>
      <c r="E346" t="s">
        <v>20</v>
      </c>
      <c r="F346" t="s">
        <v>40</v>
      </c>
      <c r="G346" t="s">
        <v>320</v>
      </c>
      <c r="H346">
        <v>1</v>
      </c>
      <c r="I346">
        <v>3582</v>
      </c>
      <c r="J346">
        <v>8</v>
      </c>
      <c r="K346" t="s">
        <v>24</v>
      </c>
      <c r="L346">
        <v>2</v>
      </c>
      <c r="M346">
        <v>4</v>
      </c>
      <c r="N346">
        <v>3</v>
      </c>
      <c r="O346">
        <v>3</v>
      </c>
      <c r="P346" t="s">
        <v>36</v>
      </c>
    </row>
    <row r="347" spans="1:16" x14ac:dyDescent="0.25">
      <c r="A347" t="s">
        <v>650</v>
      </c>
      <c r="B347">
        <v>31</v>
      </c>
      <c r="C347" t="s">
        <v>26</v>
      </c>
      <c r="D347" t="s">
        <v>33</v>
      </c>
      <c r="E347" t="s">
        <v>20</v>
      </c>
      <c r="F347" t="s">
        <v>21</v>
      </c>
      <c r="G347" t="s">
        <v>651</v>
      </c>
      <c r="H347">
        <v>1</v>
      </c>
      <c r="I347">
        <v>9776</v>
      </c>
      <c r="J347">
        <v>7</v>
      </c>
      <c r="K347" t="s">
        <v>24</v>
      </c>
      <c r="L347">
        <v>2</v>
      </c>
      <c r="M347">
        <v>3</v>
      </c>
      <c r="N347">
        <v>3</v>
      </c>
      <c r="O347">
        <v>2</v>
      </c>
      <c r="P347" t="s">
        <v>24</v>
      </c>
    </row>
    <row r="348" spans="1:16" x14ac:dyDescent="0.25">
      <c r="A348" t="s">
        <v>652</v>
      </c>
      <c r="B348">
        <v>38</v>
      </c>
      <c r="C348" t="s">
        <v>26</v>
      </c>
      <c r="D348" t="s">
        <v>33</v>
      </c>
      <c r="E348" t="s">
        <v>28</v>
      </c>
      <c r="F348" t="s">
        <v>59</v>
      </c>
      <c r="G348" t="s">
        <v>262</v>
      </c>
      <c r="H348">
        <v>0</v>
      </c>
      <c r="I348">
        <v>6050</v>
      </c>
      <c r="J348">
        <v>2</v>
      </c>
      <c r="K348" t="s">
        <v>36</v>
      </c>
      <c r="L348">
        <v>1</v>
      </c>
      <c r="M348">
        <v>4</v>
      </c>
      <c r="N348">
        <v>3</v>
      </c>
      <c r="O348">
        <v>4</v>
      </c>
      <c r="P348" t="s">
        <v>36</v>
      </c>
    </row>
    <row r="349" spans="1:16" x14ac:dyDescent="0.25">
      <c r="A349" t="s">
        <v>653</v>
      </c>
      <c r="B349">
        <v>45</v>
      </c>
      <c r="C349" t="s">
        <v>26</v>
      </c>
      <c r="D349" t="s">
        <v>19</v>
      </c>
      <c r="E349" t="s">
        <v>20</v>
      </c>
      <c r="F349" t="s">
        <v>44</v>
      </c>
      <c r="G349" t="s">
        <v>183</v>
      </c>
      <c r="H349">
        <v>6</v>
      </c>
      <c r="I349">
        <v>7251</v>
      </c>
      <c r="J349">
        <v>9</v>
      </c>
      <c r="K349" t="s">
        <v>36</v>
      </c>
      <c r="L349">
        <v>4</v>
      </c>
      <c r="M349">
        <v>3</v>
      </c>
      <c r="N349">
        <v>3</v>
      </c>
      <c r="O349">
        <v>0</v>
      </c>
      <c r="P349" t="s">
        <v>24</v>
      </c>
    </row>
    <row r="350" spans="1:16" x14ac:dyDescent="0.25">
      <c r="A350" t="s">
        <v>654</v>
      </c>
      <c r="B350">
        <v>47</v>
      </c>
      <c r="C350" t="s">
        <v>18</v>
      </c>
      <c r="D350" t="s">
        <v>27</v>
      </c>
      <c r="E350" t="s">
        <v>1140</v>
      </c>
      <c r="F350" t="s">
        <v>64</v>
      </c>
      <c r="G350" t="s">
        <v>655</v>
      </c>
      <c r="H350">
        <v>6</v>
      </c>
      <c r="I350">
        <v>7106</v>
      </c>
      <c r="J350">
        <v>3</v>
      </c>
      <c r="K350" t="s">
        <v>36</v>
      </c>
      <c r="L350">
        <v>3</v>
      </c>
      <c r="M350">
        <v>4</v>
      </c>
      <c r="N350">
        <v>3</v>
      </c>
      <c r="O350">
        <v>3</v>
      </c>
      <c r="P350" t="s">
        <v>24</v>
      </c>
    </row>
    <row r="351" spans="1:16" x14ac:dyDescent="0.25">
      <c r="A351" t="s">
        <v>656</v>
      </c>
      <c r="B351">
        <v>33</v>
      </c>
      <c r="C351" t="s">
        <v>26</v>
      </c>
      <c r="D351" t="s">
        <v>33</v>
      </c>
      <c r="E351" t="s">
        <v>28</v>
      </c>
      <c r="F351" t="s">
        <v>64</v>
      </c>
      <c r="G351" t="s">
        <v>454</v>
      </c>
      <c r="H351">
        <v>1</v>
      </c>
      <c r="I351">
        <v>5516</v>
      </c>
      <c r="J351">
        <v>1</v>
      </c>
      <c r="K351" t="s">
        <v>36</v>
      </c>
      <c r="L351">
        <v>4</v>
      </c>
      <c r="M351">
        <v>3</v>
      </c>
      <c r="N351">
        <v>3</v>
      </c>
      <c r="O351">
        <v>1</v>
      </c>
      <c r="P351" t="s">
        <v>36</v>
      </c>
    </row>
    <row r="352" spans="1:16" x14ac:dyDescent="0.25">
      <c r="A352" t="s">
        <v>657</v>
      </c>
      <c r="B352">
        <v>48</v>
      </c>
      <c r="C352" t="s">
        <v>18</v>
      </c>
      <c r="D352" t="s">
        <v>19</v>
      </c>
      <c r="E352" t="s">
        <v>20</v>
      </c>
      <c r="F352" t="s">
        <v>21</v>
      </c>
      <c r="G352" t="s">
        <v>658</v>
      </c>
      <c r="H352">
        <v>8</v>
      </c>
      <c r="I352">
        <v>16753</v>
      </c>
      <c r="J352">
        <v>27</v>
      </c>
      <c r="K352" t="s">
        <v>36</v>
      </c>
      <c r="L352">
        <v>2</v>
      </c>
      <c r="M352">
        <v>1</v>
      </c>
      <c r="N352">
        <v>3</v>
      </c>
      <c r="O352">
        <v>1</v>
      </c>
      <c r="P352" t="s">
        <v>36</v>
      </c>
    </row>
    <row r="353" spans="1:16" x14ac:dyDescent="0.25">
      <c r="A353" t="s">
        <v>659</v>
      </c>
      <c r="B353">
        <v>45</v>
      </c>
      <c r="C353" t="s">
        <v>26</v>
      </c>
      <c r="D353" t="s">
        <v>33</v>
      </c>
      <c r="E353" t="s">
        <v>28</v>
      </c>
      <c r="F353" t="s">
        <v>34</v>
      </c>
      <c r="G353" t="s">
        <v>660</v>
      </c>
      <c r="H353">
        <v>0</v>
      </c>
      <c r="I353">
        <v>2029</v>
      </c>
      <c r="J353">
        <v>8</v>
      </c>
      <c r="K353" t="s">
        <v>36</v>
      </c>
      <c r="L353">
        <v>2</v>
      </c>
      <c r="M353">
        <v>4</v>
      </c>
      <c r="N353">
        <v>3</v>
      </c>
      <c r="O353">
        <v>0</v>
      </c>
      <c r="P353" t="s">
        <v>36</v>
      </c>
    </row>
    <row r="354" spans="1:16" x14ac:dyDescent="0.25">
      <c r="A354" t="s">
        <v>661</v>
      </c>
      <c r="B354">
        <v>27</v>
      </c>
      <c r="C354" t="s">
        <v>18</v>
      </c>
      <c r="D354" t="s">
        <v>33</v>
      </c>
      <c r="E354" t="s">
        <v>20</v>
      </c>
      <c r="F354" t="s">
        <v>44</v>
      </c>
      <c r="G354" t="s">
        <v>662</v>
      </c>
      <c r="H354">
        <v>14</v>
      </c>
      <c r="I354">
        <v>5711</v>
      </c>
      <c r="J354">
        <v>7</v>
      </c>
      <c r="K354" t="s">
        <v>24</v>
      </c>
      <c r="L354">
        <v>4</v>
      </c>
      <c r="M354">
        <v>3</v>
      </c>
      <c r="N354">
        <v>3</v>
      </c>
      <c r="O354">
        <v>2</v>
      </c>
      <c r="P354" t="s">
        <v>24</v>
      </c>
    </row>
    <row r="355" spans="1:16" x14ac:dyDescent="0.25">
      <c r="A355" t="s">
        <v>663</v>
      </c>
      <c r="B355">
        <v>34</v>
      </c>
      <c r="C355" t="s">
        <v>26</v>
      </c>
      <c r="D355" t="s">
        <v>27</v>
      </c>
      <c r="E355" t="s">
        <v>28</v>
      </c>
      <c r="F355" t="s">
        <v>59</v>
      </c>
      <c r="G355" t="s">
        <v>664</v>
      </c>
      <c r="H355">
        <v>5</v>
      </c>
      <c r="I355">
        <v>6035</v>
      </c>
      <c r="J355">
        <v>3</v>
      </c>
      <c r="K355" t="s">
        <v>36</v>
      </c>
      <c r="L355">
        <v>3</v>
      </c>
      <c r="M355">
        <v>2</v>
      </c>
      <c r="N355">
        <v>3</v>
      </c>
      <c r="O355">
        <v>2</v>
      </c>
      <c r="P355" t="s">
        <v>24</v>
      </c>
    </row>
    <row r="356" spans="1:16" x14ac:dyDescent="0.25">
      <c r="A356" t="s">
        <v>665</v>
      </c>
      <c r="B356">
        <v>42</v>
      </c>
      <c r="C356" t="s">
        <v>26</v>
      </c>
      <c r="D356" t="s">
        <v>33</v>
      </c>
      <c r="E356" t="s">
        <v>20</v>
      </c>
      <c r="F356" t="s">
        <v>44</v>
      </c>
      <c r="G356" t="s">
        <v>666</v>
      </c>
      <c r="H356">
        <v>9</v>
      </c>
      <c r="I356">
        <v>5056</v>
      </c>
      <c r="J356">
        <v>15</v>
      </c>
      <c r="K356" t="s">
        <v>36</v>
      </c>
      <c r="L356">
        <v>3</v>
      </c>
      <c r="M356">
        <v>3</v>
      </c>
      <c r="N356">
        <v>3</v>
      </c>
      <c r="O356">
        <v>3</v>
      </c>
      <c r="P356" t="s">
        <v>24</v>
      </c>
    </row>
    <row r="357" spans="1:16" x14ac:dyDescent="0.25">
      <c r="A357" t="s">
        <v>667</v>
      </c>
      <c r="B357">
        <v>42</v>
      </c>
      <c r="C357" t="s">
        <v>26</v>
      </c>
      <c r="D357" t="s">
        <v>33</v>
      </c>
      <c r="E357" t="s">
        <v>28</v>
      </c>
      <c r="F357" t="s">
        <v>59</v>
      </c>
      <c r="G357" t="s">
        <v>431</v>
      </c>
      <c r="H357">
        <v>0</v>
      </c>
      <c r="I357">
        <v>5308</v>
      </c>
      <c r="J357">
        <v>22</v>
      </c>
      <c r="K357" t="s">
        <v>24</v>
      </c>
      <c r="L357">
        <v>1</v>
      </c>
      <c r="M357">
        <v>3</v>
      </c>
      <c r="N357">
        <v>3</v>
      </c>
      <c r="O357">
        <v>2</v>
      </c>
      <c r="P357" t="s">
        <v>24</v>
      </c>
    </row>
    <row r="358" spans="1:16" x14ac:dyDescent="0.25">
      <c r="A358" t="s">
        <v>668</v>
      </c>
      <c r="B358">
        <v>44</v>
      </c>
      <c r="C358" t="s">
        <v>26</v>
      </c>
      <c r="D358" t="s">
        <v>19</v>
      </c>
      <c r="E358" t="s">
        <v>20</v>
      </c>
      <c r="F358" t="s">
        <v>40</v>
      </c>
      <c r="G358" t="s">
        <v>669</v>
      </c>
      <c r="H358">
        <v>4</v>
      </c>
      <c r="I358">
        <v>3185</v>
      </c>
      <c r="J358">
        <v>9</v>
      </c>
      <c r="K358" t="s">
        <v>36</v>
      </c>
      <c r="L358">
        <v>2</v>
      </c>
      <c r="M358">
        <v>3</v>
      </c>
      <c r="N358">
        <v>3</v>
      </c>
      <c r="O358">
        <v>5</v>
      </c>
      <c r="P358" t="s">
        <v>36</v>
      </c>
    </row>
    <row r="359" spans="1:16" x14ac:dyDescent="0.25">
      <c r="A359" t="s">
        <v>670</v>
      </c>
      <c r="B359">
        <v>24</v>
      </c>
      <c r="C359" t="s">
        <v>26</v>
      </c>
      <c r="D359" t="s">
        <v>19</v>
      </c>
      <c r="E359" t="s">
        <v>20</v>
      </c>
      <c r="F359" t="s">
        <v>21</v>
      </c>
      <c r="G359" t="s">
        <v>671</v>
      </c>
      <c r="H359">
        <v>1</v>
      </c>
      <c r="I359">
        <v>9382</v>
      </c>
      <c r="J359">
        <v>26</v>
      </c>
      <c r="K359" t="s">
        <v>36</v>
      </c>
      <c r="L359">
        <v>4</v>
      </c>
      <c r="M359">
        <v>4</v>
      </c>
      <c r="N359">
        <v>3</v>
      </c>
      <c r="O359">
        <v>4</v>
      </c>
      <c r="P359" t="s">
        <v>36</v>
      </c>
    </row>
    <row r="360" spans="1:16" x14ac:dyDescent="0.25">
      <c r="A360" t="s">
        <v>672</v>
      </c>
      <c r="B360">
        <v>38</v>
      </c>
      <c r="C360" t="s">
        <v>18</v>
      </c>
      <c r="D360" t="s">
        <v>19</v>
      </c>
      <c r="E360" t="s">
        <v>28</v>
      </c>
      <c r="F360" t="s">
        <v>64</v>
      </c>
      <c r="G360" t="s">
        <v>165</v>
      </c>
      <c r="H360">
        <v>1</v>
      </c>
      <c r="I360">
        <v>5850</v>
      </c>
      <c r="J360">
        <v>3</v>
      </c>
      <c r="K360" t="s">
        <v>36</v>
      </c>
      <c r="L360">
        <v>3</v>
      </c>
      <c r="M360">
        <v>4</v>
      </c>
      <c r="N360">
        <v>3</v>
      </c>
      <c r="O360">
        <v>4</v>
      </c>
      <c r="P360" t="s">
        <v>24</v>
      </c>
    </row>
    <row r="361" spans="1:16" x14ac:dyDescent="0.25">
      <c r="A361" t="s">
        <v>673</v>
      </c>
      <c r="B361">
        <v>41</v>
      </c>
      <c r="C361" t="s">
        <v>18</v>
      </c>
      <c r="D361" t="s">
        <v>33</v>
      </c>
      <c r="E361" t="s">
        <v>28</v>
      </c>
      <c r="F361" t="s">
        <v>29</v>
      </c>
      <c r="G361" t="s">
        <v>674</v>
      </c>
      <c r="H361">
        <v>9</v>
      </c>
      <c r="I361">
        <v>13677</v>
      </c>
      <c r="J361">
        <v>11</v>
      </c>
      <c r="K361" t="s">
        <v>24</v>
      </c>
      <c r="L361">
        <v>2</v>
      </c>
      <c r="M361">
        <v>3</v>
      </c>
      <c r="N361">
        <v>3</v>
      </c>
      <c r="O361">
        <v>1</v>
      </c>
      <c r="P361" t="s">
        <v>24</v>
      </c>
    </row>
    <row r="362" spans="1:16" x14ac:dyDescent="0.25">
      <c r="A362" t="s">
        <v>675</v>
      </c>
      <c r="B362">
        <v>29</v>
      </c>
      <c r="C362" t="s">
        <v>18</v>
      </c>
      <c r="D362" t="s">
        <v>33</v>
      </c>
      <c r="E362" t="s">
        <v>28</v>
      </c>
      <c r="F362" t="s">
        <v>64</v>
      </c>
      <c r="G362" t="s">
        <v>676</v>
      </c>
      <c r="H362">
        <v>4</v>
      </c>
      <c r="I362">
        <v>5692</v>
      </c>
      <c r="J362">
        <v>4</v>
      </c>
      <c r="K362" t="s">
        <v>36</v>
      </c>
      <c r="L362">
        <v>4</v>
      </c>
      <c r="M362">
        <v>3</v>
      </c>
      <c r="N362">
        <v>3</v>
      </c>
      <c r="O362">
        <v>5</v>
      </c>
      <c r="P362" t="s">
        <v>24</v>
      </c>
    </row>
    <row r="363" spans="1:16" x14ac:dyDescent="0.25">
      <c r="A363" t="s">
        <v>677</v>
      </c>
      <c r="B363">
        <v>35</v>
      </c>
      <c r="C363" t="s">
        <v>18</v>
      </c>
      <c r="D363" t="s">
        <v>19</v>
      </c>
      <c r="E363" t="s">
        <v>28</v>
      </c>
      <c r="F363" t="s">
        <v>64</v>
      </c>
      <c r="G363" t="s">
        <v>322</v>
      </c>
      <c r="H363">
        <v>4</v>
      </c>
      <c r="I363">
        <v>6137</v>
      </c>
      <c r="J363">
        <v>1</v>
      </c>
      <c r="K363" t="s">
        <v>24</v>
      </c>
      <c r="L363">
        <v>4</v>
      </c>
      <c r="M363">
        <v>1</v>
      </c>
      <c r="N363">
        <v>3</v>
      </c>
      <c r="O363">
        <v>3</v>
      </c>
      <c r="P363" t="s">
        <v>24</v>
      </c>
    </row>
    <row r="364" spans="1:16" x14ac:dyDescent="0.25">
      <c r="A364" t="s">
        <v>678</v>
      </c>
      <c r="B364">
        <v>23</v>
      </c>
      <c r="C364" t="s">
        <v>26</v>
      </c>
      <c r="D364" t="s">
        <v>33</v>
      </c>
      <c r="E364" t="s">
        <v>28</v>
      </c>
      <c r="F364" t="s">
        <v>34</v>
      </c>
      <c r="G364" t="s">
        <v>679</v>
      </c>
      <c r="H364">
        <v>6</v>
      </c>
      <c r="I364">
        <v>3275</v>
      </c>
      <c r="J364">
        <v>4</v>
      </c>
      <c r="K364" t="s">
        <v>24</v>
      </c>
      <c r="L364">
        <v>4</v>
      </c>
      <c r="M364">
        <v>3</v>
      </c>
      <c r="N364">
        <v>3</v>
      </c>
      <c r="O364">
        <v>0</v>
      </c>
      <c r="P364" t="s">
        <v>24</v>
      </c>
    </row>
    <row r="365" spans="1:16" x14ac:dyDescent="0.25">
      <c r="A365" t="s">
        <v>680</v>
      </c>
      <c r="B365">
        <v>47</v>
      </c>
      <c r="C365" t="s">
        <v>26</v>
      </c>
      <c r="D365" t="s">
        <v>19</v>
      </c>
      <c r="E365" t="s">
        <v>20</v>
      </c>
      <c r="F365" t="s">
        <v>44</v>
      </c>
      <c r="G365" t="s">
        <v>681</v>
      </c>
      <c r="H365">
        <v>8</v>
      </c>
      <c r="I365">
        <v>6049</v>
      </c>
      <c r="J365">
        <v>15</v>
      </c>
      <c r="K365" t="s">
        <v>24</v>
      </c>
      <c r="L365">
        <v>2</v>
      </c>
      <c r="M365">
        <v>2</v>
      </c>
      <c r="N365">
        <v>3</v>
      </c>
      <c r="O365">
        <v>1</v>
      </c>
      <c r="P365" t="s">
        <v>24</v>
      </c>
    </row>
    <row r="366" spans="1:16" x14ac:dyDescent="0.25">
      <c r="A366" t="s">
        <v>682</v>
      </c>
      <c r="B366">
        <v>20</v>
      </c>
      <c r="C366" t="s">
        <v>26</v>
      </c>
      <c r="D366" t="s">
        <v>33</v>
      </c>
      <c r="E366" t="s">
        <v>28</v>
      </c>
      <c r="F366" t="s">
        <v>59</v>
      </c>
      <c r="G366" t="s">
        <v>683</v>
      </c>
      <c r="H366">
        <v>2</v>
      </c>
      <c r="I366">
        <v>4372</v>
      </c>
      <c r="J366">
        <v>5</v>
      </c>
      <c r="K366" t="s">
        <v>24</v>
      </c>
      <c r="L366">
        <v>2</v>
      </c>
      <c r="M366">
        <v>1</v>
      </c>
      <c r="N366">
        <v>3</v>
      </c>
      <c r="O366">
        <v>4</v>
      </c>
      <c r="P366" t="s">
        <v>36</v>
      </c>
    </row>
    <row r="367" spans="1:16" x14ac:dyDescent="0.25">
      <c r="A367" t="s">
        <v>684</v>
      </c>
      <c r="B367">
        <v>37</v>
      </c>
      <c r="C367" t="s">
        <v>26</v>
      </c>
      <c r="D367" t="s">
        <v>27</v>
      </c>
      <c r="E367" t="s">
        <v>110</v>
      </c>
      <c r="F367" t="s">
        <v>189</v>
      </c>
      <c r="G367" t="s">
        <v>685</v>
      </c>
      <c r="H367">
        <v>12</v>
      </c>
      <c r="I367">
        <v>4864</v>
      </c>
      <c r="J367">
        <v>22</v>
      </c>
      <c r="K367" t="s">
        <v>36</v>
      </c>
      <c r="L367">
        <v>4</v>
      </c>
      <c r="M367">
        <v>3</v>
      </c>
      <c r="N367">
        <v>3</v>
      </c>
      <c r="O367">
        <v>0</v>
      </c>
      <c r="P367" t="s">
        <v>24</v>
      </c>
    </row>
    <row r="368" spans="1:16" x14ac:dyDescent="0.25">
      <c r="A368" t="s">
        <v>686</v>
      </c>
      <c r="B368">
        <v>34</v>
      </c>
      <c r="C368" t="s">
        <v>26</v>
      </c>
      <c r="D368" t="s">
        <v>27</v>
      </c>
      <c r="E368" t="s">
        <v>28</v>
      </c>
      <c r="F368" t="s">
        <v>29</v>
      </c>
      <c r="G368" t="s">
        <v>687</v>
      </c>
      <c r="H368">
        <v>3</v>
      </c>
      <c r="I368">
        <v>14080</v>
      </c>
      <c r="J368">
        <v>7</v>
      </c>
      <c r="K368" t="s">
        <v>24</v>
      </c>
      <c r="L368">
        <v>2</v>
      </c>
      <c r="M368">
        <v>3</v>
      </c>
      <c r="N368">
        <v>3</v>
      </c>
      <c r="O368">
        <v>5</v>
      </c>
      <c r="P368" t="s">
        <v>24</v>
      </c>
    </row>
    <row r="369" spans="1:16" x14ac:dyDescent="0.25">
      <c r="A369" t="s">
        <v>688</v>
      </c>
      <c r="B369">
        <v>38</v>
      </c>
      <c r="C369" t="s">
        <v>26</v>
      </c>
      <c r="D369" t="s">
        <v>19</v>
      </c>
      <c r="E369" t="s">
        <v>20</v>
      </c>
      <c r="F369" t="s">
        <v>44</v>
      </c>
      <c r="G369" t="s">
        <v>689</v>
      </c>
      <c r="H369">
        <v>3</v>
      </c>
      <c r="I369">
        <v>8676</v>
      </c>
      <c r="J369">
        <v>2</v>
      </c>
      <c r="K369" t="s">
        <v>24</v>
      </c>
      <c r="L369">
        <v>4</v>
      </c>
      <c r="M369">
        <v>3</v>
      </c>
      <c r="N369">
        <v>3</v>
      </c>
      <c r="O369">
        <v>2</v>
      </c>
      <c r="P369" t="s">
        <v>24</v>
      </c>
    </row>
    <row r="370" spans="1:16" x14ac:dyDescent="0.25">
      <c r="A370" t="s">
        <v>690</v>
      </c>
      <c r="B370">
        <v>32</v>
      </c>
      <c r="C370" t="s">
        <v>26</v>
      </c>
      <c r="D370" t="s">
        <v>27</v>
      </c>
      <c r="E370" t="s">
        <v>20</v>
      </c>
      <c r="F370" t="s">
        <v>40</v>
      </c>
      <c r="G370" t="s">
        <v>691</v>
      </c>
      <c r="H370">
        <v>0</v>
      </c>
      <c r="I370">
        <v>3813</v>
      </c>
      <c r="J370">
        <v>10</v>
      </c>
      <c r="K370" t="s">
        <v>24</v>
      </c>
      <c r="L370">
        <v>4</v>
      </c>
      <c r="M370">
        <v>3</v>
      </c>
      <c r="N370">
        <v>3</v>
      </c>
      <c r="O370">
        <v>3</v>
      </c>
      <c r="P370" t="s">
        <v>24</v>
      </c>
    </row>
    <row r="371" spans="1:16" x14ac:dyDescent="0.25">
      <c r="A371" t="s">
        <v>692</v>
      </c>
      <c r="B371">
        <v>29</v>
      </c>
      <c r="C371" t="s">
        <v>18</v>
      </c>
      <c r="D371" t="s">
        <v>33</v>
      </c>
      <c r="E371" t="s">
        <v>110</v>
      </c>
      <c r="F371" t="s">
        <v>128</v>
      </c>
      <c r="G371" t="s">
        <v>161</v>
      </c>
      <c r="H371">
        <v>0</v>
      </c>
      <c r="I371">
        <v>11520</v>
      </c>
      <c r="J371">
        <v>1</v>
      </c>
      <c r="K371" t="s">
        <v>36</v>
      </c>
      <c r="L371">
        <v>4</v>
      </c>
      <c r="M371">
        <v>3</v>
      </c>
      <c r="N371">
        <v>3</v>
      </c>
      <c r="O371">
        <v>3</v>
      </c>
      <c r="P371" t="s">
        <v>24</v>
      </c>
    </row>
    <row r="372" spans="1:16" x14ac:dyDescent="0.25">
      <c r="A372" t="s">
        <v>693</v>
      </c>
      <c r="B372">
        <v>20</v>
      </c>
      <c r="C372" t="s">
        <v>26</v>
      </c>
      <c r="D372" t="s">
        <v>33</v>
      </c>
      <c r="E372" t="s">
        <v>28</v>
      </c>
      <c r="F372" t="s">
        <v>34</v>
      </c>
      <c r="G372" t="s">
        <v>694</v>
      </c>
      <c r="H372">
        <v>1</v>
      </c>
      <c r="I372">
        <v>3063</v>
      </c>
      <c r="J372">
        <v>3</v>
      </c>
      <c r="K372" t="s">
        <v>24</v>
      </c>
      <c r="L372">
        <v>1</v>
      </c>
      <c r="M372">
        <v>4</v>
      </c>
      <c r="N372">
        <v>3</v>
      </c>
      <c r="O372">
        <v>3</v>
      </c>
      <c r="P372" t="s">
        <v>24</v>
      </c>
    </row>
    <row r="373" spans="1:16" x14ac:dyDescent="0.25">
      <c r="A373" t="s">
        <v>695</v>
      </c>
      <c r="B373">
        <v>43</v>
      </c>
      <c r="C373" t="s">
        <v>26</v>
      </c>
      <c r="D373" t="s">
        <v>19</v>
      </c>
      <c r="E373" t="s">
        <v>110</v>
      </c>
      <c r="F373" t="s">
        <v>128</v>
      </c>
      <c r="G373" t="s">
        <v>696</v>
      </c>
      <c r="H373">
        <v>1</v>
      </c>
      <c r="I373">
        <v>8288</v>
      </c>
      <c r="J373">
        <v>1</v>
      </c>
      <c r="K373" t="s">
        <v>36</v>
      </c>
      <c r="L373">
        <v>4</v>
      </c>
      <c r="M373">
        <v>2</v>
      </c>
      <c r="N373">
        <v>4</v>
      </c>
      <c r="O373">
        <v>4</v>
      </c>
      <c r="P373" t="s">
        <v>24</v>
      </c>
    </row>
    <row r="374" spans="1:16" x14ac:dyDescent="0.25">
      <c r="A374" t="s">
        <v>697</v>
      </c>
      <c r="B374">
        <v>46</v>
      </c>
      <c r="C374" t="s">
        <v>26</v>
      </c>
      <c r="D374" t="s">
        <v>27</v>
      </c>
      <c r="E374" t="s">
        <v>28</v>
      </c>
      <c r="F374" t="s">
        <v>64</v>
      </c>
      <c r="G374" t="s">
        <v>698</v>
      </c>
      <c r="H374">
        <v>3</v>
      </c>
      <c r="I374">
        <v>5431</v>
      </c>
      <c r="J374">
        <v>5</v>
      </c>
      <c r="K374" t="s">
        <v>24</v>
      </c>
      <c r="L374">
        <v>4</v>
      </c>
      <c r="M374">
        <v>3</v>
      </c>
      <c r="N374">
        <v>3</v>
      </c>
      <c r="O374">
        <v>3</v>
      </c>
      <c r="P374" t="s">
        <v>24</v>
      </c>
    </row>
    <row r="375" spans="1:16" x14ac:dyDescent="0.25">
      <c r="A375" t="s">
        <v>699</v>
      </c>
      <c r="B375">
        <v>31</v>
      </c>
      <c r="C375" t="s">
        <v>26</v>
      </c>
      <c r="D375" t="s">
        <v>33</v>
      </c>
      <c r="E375" t="s">
        <v>28</v>
      </c>
      <c r="F375" t="s">
        <v>59</v>
      </c>
      <c r="G375" t="s">
        <v>700</v>
      </c>
      <c r="H375">
        <v>2</v>
      </c>
      <c r="I375">
        <v>4347</v>
      </c>
      <c r="J375">
        <v>4</v>
      </c>
      <c r="K375" t="s">
        <v>36</v>
      </c>
      <c r="L375">
        <v>4</v>
      </c>
      <c r="M375">
        <v>2</v>
      </c>
      <c r="N375">
        <v>3</v>
      </c>
      <c r="O375">
        <v>0</v>
      </c>
      <c r="P375" t="s">
        <v>36</v>
      </c>
    </row>
    <row r="376" spans="1:16" x14ac:dyDescent="0.25">
      <c r="A376" t="s">
        <v>701</v>
      </c>
      <c r="B376">
        <v>31</v>
      </c>
      <c r="C376" t="s">
        <v>26</v>
      </c>
      <c r="D376" t="s">
        <v>19</v>
      </c>
      <c r="E376" t="s">
        <v>28</v>
      </c>
      <c r="F376" t="s">
        <v>59</v>
      </c>
      <c r="G376" t="s">
        <v>702</v>
      </c>
      <c r="H376">
        <v>2</v>
      </c>
      <c r="I376">
        <v>6392</v>
      </c>
      <c r="J376">
        <v>25</v>
      </c>
      <c r="K376" t="s">
        <v>36</v>
      </c>
      <c r="L376">
        <v>4</v>
      </c>
      <c r="M376">
        <v>2</v>
      </c>
      <c r="N376">
        <v>3</v>
      </c>
      <c r="O376">
        <v>5</v>
      </c>
      <c r="P376" t="s">
        <v>36</v>
      </c>
    </row>
    <row r="377" spans="1:16" x14ac:dyDescent="0.25">
      <c r="A377" t="s">
        <v>223</v>
      </c>
      <c r="B377">
        <v>41</v>
      </c>
      <c r="C377" t="s">
        <v>18</v>
      </c>
      <c r="D377" t="s">
        <v>33</v>
      </c>
      <c r="E377" t="s">
        <v>28</v>
      </c>
      <c r="F377" t="s">
        <v>34</v>
      </c>
      <c r="G377" t="s">
        <v>224</v>
      </c>
      <c r="H377">
        <v>0</v>
      </c>
      <c r="I377">
        <v>3060</v>
      </c>
      <c r="J377">
        <v>13</v>
      </c>
      <c r="K377" t="s">
        <v>24</v>
      </c>
      <c r="L377">
        <v>3</v>
      </c>
      <c r="M377">
        <v>2</v>
      </c>
      <c r="N377">
        <v>3</v>
      </c>
      <c r="O377">
        <v>2</v>
      </c>
      <c r="P377" t="s">
        <v>24</v>
      </c>
    </row>
    <row r="378" spans="1:16" x14ac:dyDescent="0.25">
      <c r="A378" t="s">
        <v>703</v>
      </c>
      <c r="B378">
        <v>37</v>
      </c>
      <c r="C378" t="s">
        <v>18</v>
      </c>
      <c r="D378" t="s">
        <v>19</v>
      </c>
      <c r="E378" t="s">
        <v>20</v>
      </c>
      <c r="F378" t="s">
        <v>40</v>
      </c>
      <c r="G378" t="s">
        <v>449</v>
      </c>
      <c r="H378">
        <v>0</v>
      </c>
      <c r="I378">
        <v>4706</v>
      </c>
      <c r="J378">
        <v>8</v>
      </c>
      <c r="K378" t="s">
        <v>24</v>
      </c>
      <c r="L378">
        <v>2</v>
      </c>
      <c r="M378">
        <v>4</v>
      </c>
      <c r="N378">
        <v>4</v>
      </c>
      <c r="O378">
        <v>1</v>
      </c>
      <c r="P378" t="s">
        <v>36</v>
      </c>
    </row>
    <row r="379" spans="1:16" x14ac:dyDescent="0.25">
      <c r="A379" t="s">
        <v>704</v>
      </c>
      <c r="B379">
        <v>36</v>
      </c>
      <c r="C379" t="s">
        <v>26</v>
      </c>
      <c r="D379" t="s">
        <v>27</v>
      </c>
      <c r="E379" t="s">
        <v>28</v>
      </c>
      <c r="F379" t="s">
        <v>64</v>
      </c>
      <c r="G379" t="s">
        <v>705</v>
      </c>
      <c r="H379">
        <v>2</v>
      </c>
      <c r="I379">
        <v>3741</v>
      </c>
      <c r="J379">
        <v>21</v>
      </c>
      <c r="K379" t="s">
        <v>24</v>
      </c>
      <c r="L379">
        <v>4</v>
      </c>
      <c r="M379">
        <v>4</v>
      </c>
      <c r="N379">
        <v>3</v>
      </c>
      <c r="O379">
        <v>2</v>
      </c>
      <c r="P379" t="s">
        <v>24</v>
      </c>
    </row>
    <row r="380" spans="1:16" x14ac:dyDescent="0.25">
      <c r="A380" t="s">
        <v>706</v>
      </c>
      <c r="B380">
        <v>26</v>
      </c>
      <c r="C380" t="s">
        <v>26</v>
      </c>
      <c r="D380" t="s">
        <v>33</v>
      </c>
      <c r="E380" t="s">
        <v>28</v>
      </c>
      <c r="F380" t="s">
        <v>29</v>
      </c>
      <c r="G380" t="s">
        <v>707</v>
      </c>
      <c r="H380">
        <v>3</v>
      </c>
      <c r="I380">
        <v>12435</v>
      </c>
      <c r="J380">
        <v>25</v>
      </c>
      <c r="K380" t="s">
        <v>24</v>
      </c>
      <c r="L380">
        <v>2</v>
      </c>
      <c r="M380">
        <v>3</v>
      </c>
      <c r="N380">
        <v>3</v>
      </c>
      <c r="O380">
        <v>3</v>
      </c>
      <c r="P380" t="s">
        <v>24</v>
      </c>
    </row>
    <row r="381" spans="1:16" x14ac:dyDescent="0.25">
      <c r="A381" t="s">
        <v>708</v>
      </c>
      <c r="B381">
        <v>27</v>
      </c>
      <c r="C381" t="s">
        <v>26</v>
      </c>
      <c r="D381" t="s">
        <v>27</v>
      </c>
      <c r="E381" t="s">
        <v>20</v>
      </c>
      <c r="F381" t="s">
        <v>40</v>
      </c>
      <c r="G381" t="s">
        <v>709</v>
      </c>
      <c r="H381">
        <v>9</v>
      </c>
      <c r="I381">
        <v>4384</v>
      </c>
      <c r="J381">
        <v>18</v>
      </c>
      <c r="K381" t="s">
        <v>36</v>
      </c>
      <c r="L381">
        <v>3</v>
      </c>
      <c r="M381">
        <v>2</v>
      </c>
      <c r="N381">
        <v>4</v>
      </c>
      <c r="O381">
        <v>5</v>
      </c>
      <c r="P381" t="s">
        <v>24</v>
      </c>
    </row>
    <row r="382" spans="1:16" x14ac:dyDescent="0.25">
      <c r="A382" t="s">
        <v>710</v>
      </c>
      <c r="B382">
        <v>43</v>
      </c>
      <c r="C382" t="s">
        <v>26</v>
      </c>
      <c r="D382" t="s">
        <v>19</v>
      </c>
      <c r="E382" t="s">
        <v>28</v>
      </c>
      <c r="F382" t="s">
        <v>29</v>
      </c>
      <c r="G382" t="s">
        <v>711</v>
      </c>
      <c r="H382">
        <v>0</v>
      </c>
      <c r="I382">
        <v>11093</v>
      </c>
      <c r="J382">
        <v>1</v>
      </c>
      <c r="K382" t="s">
        <v>24</v>
      </c>
      <c r="L382">
        <v>2</v>
      </c>
      <c r="M382">
        <v>3</v>
      </c>
      <c r="N382">
        <v>3</v>
      </c>
      <c r="O382">
        <v>5</v>
      </c>
      <c r="P382" t="s">
        <v>36</v>
      </c>
    </row>
    <row r="383" spans="1:16" x14ac:dyDescent="0.25">
      <c r="A383" t="s">
        <v>712</v>
      </c>
      <c r="B383">
        <v>39</v>
      </c>
      <c r="C383" t="s">
        <v>18</v>
      </c>
      <c r="D383" t="s">
        <v>33</v>
      </c>
      <c r="E383" t="s">
        <v>110</v>
      </c>
      <c r="F383" t="s">
        <v>111</v>
      </c>
      <c r="G383" t="s">
        <v>713</v>
      </c>
      <c r="H383">
        <v>2</v>
      </c>
      <c r="I383">
        <v>4121</v>
      </c>
      <c r="J383">
        <v>1</v>
      </c>
      <c r="K383" t="s">
        <v>24</v>
      </c>
      <c r="L383">
        <v>1</v>
      </c>
      <c r="M383">
        <v>3</v>
      </c>
      <c r="N383">
        <v>3</v>
      </c>
      <c r="O383">
        <v>1</v>
      </c>
      <c r="P383" t="s">
        <v>24</v>
      </c>
    </row>
    <row r="384" spans="1:16" x14ac:dyDescent="0.25">
      <c r="A384" t="s">
        <v>714</v>
      </c>
      <c r="B384">
        <v>37</v>
      </c>
      <c r="C384" t="s">
        <v>26</v>
      </c>
      <c r="D384" t="s">
        <v>33</v>
      </c>
      <c r="E384" t="s">
        <v>28</v>
      </c>
      <c r="F384" t="s">
        <v>59</v>
      </c>
      <c r="G384" t="s">
        <v>715</v>
      </c>
      <c r="H384">
        <v>1</v>
      </c>
      <c r="I384">
        <v>6546</v>
      </c>
      <c r="J384">
        <v>2</v>
      </c>
      <c r="K384" t="s">
        <v>24</v>
      </c>
      <c r="L384">
        <v>3</v>
      </c>
      <c r="M384">
        <v>2</v>
      </c>
      <c r="N384">
        <v>4</v>
      </c>
      <c r="O384">
        <v>1</v>
      </c>
      <c r="P384" t="s">
        <v>24</v>
      </c>
    </row>
    <row r="385" spans="1:16" x14ac:dyDescent="0.25">
      <c r="A385" t="s">
        <v>716</v>
      </c>
      <c r="B385">
        <v>22</v>
      </c>
      <c r="C385" t="s">
        <v>18</v>
      </c>
      <c r="D385" t="s">
        <v>33</v>
      </c>
      <c r="E385" t="s">
        <v>28</v>
      </c>
      <c r="F385" t="s">
        <v>34</v>
      </c>
      <c r="G385" t="s">
        <v>696</v>
      </c>
      <c r="H385">
        <v>1</v>
      </c>
      <c r="I385">
        <v>3503</v>
      </c>
      <c r="J385">
        <v>5</v>
      </c>
      <c r="K385" t="s">
        <v>36</v>
      </c>
      <c r="L385">
        <v>4</v>
      </c>
      <c r="M385">
        <v>2</v>
      </c>
      <c r="N385">
        <v>3</v>
      </c>
      <c r="O385">
        <v>4</v>
      </c>
      <c r="P385" t="s">
        <v>36</v>
      </c>
    </row>
    <row r="386" spans="1:16" x14ac:dyDescent="0.25">
      <c r="A386" t="s">
        <v>717</v>
      </c>
      <c r="B386">
        <v>26</v>
      </c>
      <c r="C386" t="s">
        <v>18</v>
      </c>
      <c r="D386" t="s">
        <v>33</v>
      </c>
      <c r="E386" t="s">
        <v>20</v>
      </c>
      <c r="F386" t="s">
        <v>44</v>
      </c>
      <c r="G386" t="s">
        <v>718</v>
      </c>
      <c r="H386">
        <v>2</v>
      </c>
      <c r="I386">
        <v>6380</v>
      </c>
      <c r="J386">
        <v>10</v>
      </c>
      <c r="K386" t="s">
        <v>24</v>
      </c>
      <c r="L386">
        <v>4</v>
      </c>
      <c r="M386">
        <v>3</v>
      </c>
      <c r="N386">
        <v>3</v>
      </c>
      <c r="O386">
        <v>5</v>
      </c>
      <c r="P386" t="s">
        <v>24</v>
      </c>
    </row>
    <row r="387" spans="1:16" x14ac:dyDescent="0.25">
      <c r="A387" t="s">
        <v>719</v>
      </c>
      <c r="B387">
        <v>34</v>
      </c>
      <c r="C387" t="s">
        <v>26</v>
      </c>
      <c r="D387" t="s">
        <v>27</v>
      </c>
      <c r="E387" t="s">
        <v>28</v>
      </c>
      <c r="F387" t="s">
        <v>29</v>
      </c>
      <c r="G387" t="s">
        <v>720</v>
      </c>
      <c r="H387">
        <v>0</v>
      </c>
      <c r="I387">
        <v>13354</v>
      </c>
      <c r="J387">
        <v>8</v>
      </c>
      <c r="K387" t="s">
        <v>36</v>
      </c>
      <c r="L387">
        <v>4</v>
      </c>
      <c r="M387">
        <v>2</v>
      </c>
      <c r="N387">
        <v>4</v>
      </c>
      <c r="O387">
        <v>2</v>
      </c>
      <c r="P387" t="s">
        <v>24</v>
      </c>
    </row>
    <row r="388" spans="1:16" x14ac:dyDescent="0.25">
      <c r="A388" t="s">
        <v>721</v>
      </c>
      <c r="B388">
        <v>29</v>
      </c>
      <c r="C388" t="s">
        <v>18</v>
      </c>
      <c r="D388" t="s">
        <v>19</v>
      </c>
      <c r="E388" t="s">
        <v>28</v>
      </c>
      <c r="F388" t="s">
        <v>64</v>
      </c>
      <c r="G388" t="s">
        <v>722</v>
      </c>
      <c r="H388">
        <v>0</v>
      </c>
      <c r="I388">
        <v>4564</v>
      </c>
      <c r="J388">
        <v>22</v>
      </c>
      <c r="K388" t="s">
        <v>24</v>
      </c>
      <c r="L388">
        <v>3</v>
      </c>
      <c r="M388">
        <v>3</v>
      </c>
      <c r="N388">
        <v>3</v>
      </c>
      <c r="O388">
        <v>3</v>
      </c>
      <c r="P388" t="s">
        <v>36</v>
      </c>
    </row>
    <row r="389" spans="1:16" x14ac:dyDescent="0.25">
      <c r="A389" t="s">
        <v>723</v>
      </c>
      <c r="B389">
        <v>52</v>
      </c>
      <c r="C389" t="s">
        <v>26</v>
      </c>
      <c r="D389" t="s">
        <v>19</v>
      </c>
      <c r="E389" t="s">
        <v>28</v>
      </c>
      <c r="F389" t="s">
        <v>64</v>
      </c>
      <c r="G389" t="s">
        <v>724</v>
      </c>
      <c r="H389">
        <v>0</v>
      </c>
      <c r="I389">
        <v>4315</v>
      </c>
      <c r="J389">
        <v>21</v>
      </c>
      <c r="K389" t="s">
        <v>24</v>
      </c>
      <c r="L389">
        <v>3</v>
      </c>
      <c r="M389">
        <v>2</v>
      </c>
      <c r="N389">
        <v>3</v>
      </c>
      <c r="O389">
        <v>2</v>
      </c>
      <c r="P389" t="s">
        <v>24</v>
      </c>
    </row>
    <row r="390" spans="1:16" x14ac:dyDescent="0.25">
      <c r="A390" t="s">
        <v>725</v>
      </c>
      <c r="B390">
        <v>48</v>
      </c>
      <c r="C390" t="s">
        <v>18</v>
      </c>
      <c r="D390" t="s">
        <v>33</v>
      </c>
      <c r="E390" t="s">
        <v>20</v>
      </c>
      <c r="F390" t="s">
        <v>21</v>
      </c>
      <c r="G390" t="s">
        <v>726</v>
      </c>
      <c r="H390">
        <v>13</v>
      </c>
      <c r="I390">
        <v>10454</v>
      </c>
      <c r="J390">
        <v>1</v>
      </c>
      <c r="K390" t="s">
        <v>36</v>
      </c>
      <c r="L390">
        <v>3</v>
      </c>
      <c r="M390">
        <v>2</v>
      </c>
      <c r="N390">
        <v>3</v>
      </c>
      <c r="O390">
        <v>0</v>
      </c>
      <c r="P390" t="s">
        <v>36</v>
      </c>
    </row>
    <row r="391" spans="1:16" x14ac:dyDescent="0.25">
      <c r="A391" t="s">
        <v>727</v>
      </c>
      <c r="B391">
        <v>43</v>
      </c>
      <c r="C391" t="s">
        <v>26</v>
      </c>
      <c r="D391" t="s">
        <v>33</v>
      </c>
      <c r="E391" t="s">
        <v>20</v>
      </c>
      <c r="F391" t="s">
        <v>21</v>
      </c>
      <c r="G391" t="s">
        <v>728</v>
      </c>
      <c r="H391">
        <v>6</v>
      </c>
      <c r="I391">
        <v>12473</v>
      </c>
      <c r="J391">
        <v>2</v>
      </c>
      <c r="K391" t="s">
        <v>24</v>
      </c>
      <c r="L391">
        <v>2</v>
      </c>
      <c r="M391">
        <v>4</v>
      </c>
      <c r="N391">
        <v>3</v>
      </c>
      <c r="O391">
        <v>5</v>
      </c>
      <c r="P391" t="s">
        <v>24</v>
      </c>
    </row>
    <row r="392" spans="1:16" x14ac:dyDescent="0.25">
      <c r="A392" t="s">
        <v>729</v>
      </c>
      <c r="B392">
        <v>34</v>
      </c>
      <c r="C392" t="s">
        <v>26</v>
      </c>
      <c r="D392" t="s">
        <v>27</v>
      </c>
      <c r="E392" t="s">
        <v>20</v>
      </c>
      <c r="F392" t="s">
        <v>44</v>
      </c>
      <c r="G392" t="s">
        <v>630</v>
      </c>
      <c r="H392">
        <v>0</v>
      </c>
      <c r="I392">
        <v>4615</v>
      </c>
      <c r="J392">
        <v>6</v>
      </c>
      <c r="K392" t="s">
        <v>36</v>
      </c>
      <c r="L392">
        <v>1</v>
      </c>
      <c r="M392">
        <v>2</v>
      </c>
      <c r="N392">
        <v>3</v>
      </c>
      <c r="O392">
        <v>2</v>
      </c>
      <c r="P392" t="s">
        <v>36</v>
      </c>
    </row>
    <row r="393" spans="1:16" x14ac:dyDescent="0.25">
      <c r="A393" t="s">
        <v>730</v>
      </c>
      <c r="B393">
        <v>37</v>
      </c>
      <c r="C393" t="s">
        <v>26</v>
      </c>
      <c r="D393" t="s">
        <v>33</v>
      </c>
      <c r="E393" t="s">
        <v>20</v>
      </c>
      <c r="F393" t="s">
        <v>40</v>
      </c>
      <c r="G393" t="s">
        <v>731</v>
      </c>
      <c r="H393">
        <v>4</v>
      </c>
      <c r="I393">
        <v>5144</v>
      </c>
      <c r="J393">
        <v>8</v>
      </c>
      <c r="K393" t="s">
        <v>36</v>
      </c>
      <c r="L393">
        <v>3</v>
      </c>
      <c r="M393">
        <v>2</v>
      </c>
      <c r="N393">
        <v>3</v>
      </c>
      <c r="O393">
        <v>1</v>
      </c>
      <c r="P393" t="s">
        <v>36</v>
      </c>
    </row>
    <row r="394" spans="1:16" x14ac:dyDescent="0.25">
      <c r="A394" t="s">
        <v>732</v>
      </c>
      <c r="B394">
        <v>48</v>
      </c>
      <c r="C394" t="s">
        <v>26</v>
      </c>
      <c r="D394" t="s">
        <v>27</v>
      </c>
      <c r="E394" t="s">
        <v>20</v>
      </c>
      <c r="F394" t="s">
        <v>21</v>
      </c>
      <c r="G394" t="s">
        <v>733</v>
      </c>
      <c r="H394">
        <v>0</v>
      </c>
      <c r="I394">
        <v>11413</v>
      </c>
      <c r="J394">
        <v>19</v>
      </c>
      <c r="K394" t="s">
        <v>24</v>
      </c>
      <c r="L394">
        <v>1</v>
      </c>
      <c r="M394">
        <v>4</v>
      </c>
      <c r="N394">
        <v>3</v>
      </c>
      <c r="O394">
        <v>4</v>
      </c>
      <c r="P394" t="s">
        <v>36</v>
      </c>
    </row>
    <row r="395" spans="1:16" x14ac:dyDescent="0.25">
      <c r="A395" t="s">
        <v>734</v>
      </c>
      <c r="B395">
        <v>40</v>
      </c>
      <c r="C395" t="s">
        <v>26</v>
      </c>
      <c r="D395" t="s">
        <v>27</v>
      </c>
      <c r="E395" t="s">
        <v>28</v>
      </c>
      <c r="F395" t="s">
        <v>34</v>
      </c>
      <c r="G395" t="s">
        <v>735</v>
      </c>
      <c r="H395">
        <v>13</v>
      </c>
      <c r="I395">
        <v>3831</v>
      </c>
      <c r="J395">
        <v>3</v>
      </c>
      <c r="K395" t="s">
        <v>24</v>
      </c>
      <c r="L395">
        <v>4</v>
      </c>
      <c r="M395">
        <v>2</v>
      </c>
      <c r="N395">
        <v>3</v>
      </c>
      <c r="O395">
        <v>0</v>
      </c>
      <c r="P395" t="s">
        <v>24</v>
      </c>
    </row>
    <row r="396" spans="1:16" x14ac:dyDescent="0.25">
      <c r="A396" t="s">
        <v>736</v>
      </c>
      <c r="B396">
        <v>37</v>
      </c>
      <c r="C396" t="s">
        <v>26</v>
      </c>
      <c r="D396" t="s">
        <v>19</v>
      </c>
      <c r="E396" t="s">
        <v>20</v>
      </c>
      <c r="F396" t="s">
        <v>21</v>
      </c>
      <c r="G396" t="s">
        <v>737</v>
      </c>
      <c r="H396">
        <v>1</v>
      </c>
      <c r="I396">
        <v>11527</v>
      </c>
      <c r="J396">
        <v>30</v>
      </c>
      <c r="K396" t="s">
        <v>24</v>
      </c>
      <c r="L396">
        <v>3</v>
      </c>
      <c r="M396">
        <v>4</v>
      </c>
      <c r="N396">
        <v>3</v>
      </c>
      <c r="O396">
        <v>5</v>
      </c>
      <c r="P396" t="s">
        <v>24</v>
      </c>
    </row>
    <row r="397" spans="1:16" x14ac:dyDescent="0.25">
      <c r="A397" t="s">
        <v>738</v>
      </c>
      <c r="B397">
        <v>31</v>
      </c>
      <c r="C397" t="s">
        <v>26</v>
      </c>
      <c r="D397" t="s">
        <v>33</v>
      </c>
      <c r="E397" t="s">
        <v>20</v>
      </c>
      <c r="F397" t="s">
        <v>21</v>
      </c>
      <c r="G397" t="s">
        <v>739</v>
      </c>
      <c r="H397">
        <v>0</v>
      </c>
      <c r="I397">
        <v>11407</v>
      </c>
      <c r="J397">
        <v>12</v>
      </c>
      <c r="K397" t="s">
        <v>24</v>
      </c>
      <c r="L397">
        <v>1</v>
      </c>
      <c r="M397">
        <v>3</v>
      </c>
      <c r="N397">
        <v>3</v>
      </c>
      <c r="O397">
        <v>3</v>
      </c>
      <c r="P397" t="s">
        <v>24</v>
      </c>
    </row>
    <row r="398" spans="1:16" x14ac:dyDescent="0.25">
      <c r="A398" t="s">
        <v>740</v>
      </c>
      <c r="B398">
        <v>31</v>
      </c>
      <c r="C398" t="s">
        <v>18</v>
      </c>
      <c r="D398" t="s">
        <v>19</v>
      </c>
      <c r="E398" t="s">
        <v>28</v>
      </c>
      <c r="F398" t="s">
        <v>29</v>
      </c>
      <c r="G398" t="s">
        <v>741</v>
      </c>
      <c r="H398">
        <v>1</v>
      </c>
      <c r="I398">
        <v>14517</v>
      </c>
      <c r="J398">
        <v>5</v>
      </c>
      <c r="K398" t="s">
        <v>36</v>
      </c>
      <c r="L398">
        <v>1</v>
      </c>
      <c r="M398">
        <v>1</v>
      </c>
      <c r="N398">
        <v>3</v>
      </c>
      <c r="O398">
        <v>4</v>
      </c>
      <c r="P398" t="s">
        <v>36</v>
      </c>
    </row>
    <row r="399" spans="1:16" x14ac:dyDescent="0.25">
      <c r="A399" t="s">
        <v>742</v>
      </c>
      <c r="B399">
        <v>46</v>
      </c>
      <c r="C399" t="s">
        <v>26</v>
      </c>
      <c r="D399" t="s">
        <v>19</v>
      </c>
      <c r="E399" t="s">
        <v>20</v>
      </c>
      <c r="F399" t="s">
        <v>44</v>
      </c>
      <c r="G399" t="s">
        <v>743</v>
      </c>
      <c r="H399">
        <v>17</v>
      </c>
      <c r="I399">
        <v>7513</v>
      </c>
      <c r="J399">
        <v>1</v>
      </c>
      <c r="K399" t="s">
        <v>24</v>
      </c>
      <c r="L399">
        <v>1</v>
      </c>
      <c r="M399">
        <v>3</v>
      </c>
      <c r="N399">
        <v>4</v>
      </c>
      <c r="O399">
        <v>5</v>
      </c>
      <c r="P399" t="s">
        <v>24</v>
      </c>
    </row>
    <row r="400" spans="1:16" x14ac:dyDescent="0.25">
      <c r="A400" t="s">
        <v>744</v>
      </c>
      <c r="B400">
        <v>27</v>
      </c>
      <c r="C400" t="s">
        <v>26</v>
      </c>
      <c r="D400" t="s">
        <v>33</v>
      </c>
      <c r="E400" t="s">
        <v>1130</v>
      </c>
      <c r="F400" t="s">
        <v>59</v>
      </c>
      <c r="G400" t="s">
        <v>745</v>
      </c>
      <c r="H400">
        <v>0</v>
      </c>
      <c r="I400">
        <v>4598</v>
      </c>
      <c r="J400">
        <v>6</v>
      </c>
      <c r="K400" t="s">
        <v>24</v>
      </c>
      <c r="L400">
        <v>4</v>
      </c>
      <c r="M400">
        <v>3</v>
      </c>
      <c r="N400">
        <v>4</v>
      </c>
      <c r="O400">
        <v>1</v>
      </c>
      <c r="P400" t="s">
        <v>24</v>
      </c>
    </row>
    <row r="401" spans="1:16" x14ac:dyDescent="0.25">
      <c r="A401" t="s">
        <v>746</v>
      </c>
      <c r="B401">
        <v>25</v>
      </c>
      <c r="C401" t="s">
        <v>18</v>
      </c>
      <c r="D401" t="s">
        <v>33</v>
      </c>
      <c r="E401" t="s">
        <v>20</v>
      </c>
      <c r="F401" t="s">
        <v>40</v>
      </c>
      <c r="G401" t="s">
        <v>747</v>
      </c>
      <c r="H401">
        <v>4</v>
      </c>
      <c r="I401">
        <v>5245</v>
      </c>
      <c r="J401">
        <v>17</v>
      </c>
      <c r="K401" t="s">
        <v>24</v>
      </c>
      <c r="L401">
        <v>3</v>
      </c>
      <c r="M401">
        <v>4</v>
      </c>
      <c r="N401">
        <v>3</v>
      </c>
      <c r="O401">
        <v>1</v>
      </c>
      <c r="P401" t="s">
        <v>24</v>
      </c>
    </row>
    <row r="402" spans="1:16" x14ac:dyDescent="0.25">
      <c r="A402" t="s">
        <v>748</v>
      </c>
      <c r="B402">
        <v>49</v>
      </c>
      <c r="C402" t="s">
        <v>18</v>
      </c>
      <c r="D402" t="s">
        <v>19</v>
      </c>
      <c r="E402" t="s">
        <v>110</v>
      </c>
      <c r="F402" t="s">
        <v>189</v>
      </c>
      <c r="G402" t="s">
        <v>749</v>
      </c>
      <c r="H402">
        <v>0</v>
      </c>
      <c r="I402">
        <v>3945</v>
      </c>
      <c r="J402">
        <v>2</v>
      </c>
      <c r="K402" t="s">
        <v>24</v>
      </c>
      <c r="L402">
        <v>2</v>
      </c>
      <c r="M402">
        <v>2</v>
      </c>
      <c r="N402">
        <v>3</v>
      </c>
      <c r="O402">
        <v>2</v>
      </c>
      <c r="P402" t="s">
        <v>24</v>
      </c>
    </row>
    <row r="403" spans="1:16" x14ac:dyDescent="0.25">
      <c r="A403" t="s">
        <v>750</v>
      </c>
      <c r="B403">
        <v>32</v>
      </c>
      <c r="C403" t="s">
        <v>18</v>
      </c>
      <c r="D403" t="s">
        <v>19</v>
      </c>
      <c r="E403" t="s">
        <v>28</v>
      </c>
      <c r="F403" t="s">
        <v>64</v>
      </c>
      <c r="G403" t="s">
        <v>751</v>
      </c>
      <c r="H403">
        <v>1</v>
      </c>
      <c r="I403">
        <v>4760</v>
      </c>
      <c r="J403">
        <v>1</v>
      </c>
      <c r="K403" t="s">
        <v>24</v>
      </c>
      <c r="L403">
        <v>2</v>
      </c>
      <c r="M403">
        <v>2</v>
      </c>
      <c r="N403">
        <v>3</v>
      </c>
      <c r="O403">
        <v>1</v>
      </c>
      <c r="P403" t="s">
        <v>24</v>
      </c>
    </row>
    <row r="404" spans="1:16" x14ac:dyDescent="0.25">
      <c r="A404" t="s">
        <v>752</v>
      </c>
      <c r="B404">
        <v>23</v>
      </c>
      <c r="C404" t="s">
        <v>18</v>
      </c>
      <c r="D404" t="s">
        <v>19</v>
      </c>
      <c r="E404" t="s">
        <v>28</v>
      </c>
      <c r="F404" t="s">
        <v>34</v>
      </c>
      <c r="G404" t="s">
        <v>239</v>
      </c>
      <c r="H404">
        <v>1</v>
      </c>
      <c r="I404">
        <v>3065</v>
      </c>
      <c r="J404">
        <v>9</v>
      </c>
      <c r="K404" t="s">
        <v>36</v>
      </c>
      <c r="L404">
        <v>2</v>
      </c>
      <c r="M404">
        <v>3</v>
      </c>
      <c r="N404">
        <v>3</v>
      </c>
      <c r="O404">
        <v>5</v>
      </c>
      <c r="P404" t="s">
        <v>36</v>
      </c>
    </row>
    <row r="405" spans="1:16" x14ac:dyDescent="0.25">
      <c r="A405" t="s">
        <v>753</v>
      </c>
      <c r="B405">
        <v>20</v>
      </c>
      <c r="C405" t="s">
        <v>18</v>
      </c>
      <c r="D405" t="s">
        <v>19</v>
      </c>
      <c r="E405" t="s">
        <v>28</v>
      </c>
      <c r="F405" t="s">
        <v>59</v>
      </c>
      <c r="G405" t="s">
        <v>754</v>
      </c>
      <c r="H405">
        <v>4</v>
      </c>
      <c r="I405">
        <v>5736</v>
      </c>
      <c r="J405">
        <v>5</v>
      </c>
      <c r="K405" t="s">
        <v>24</v>
      </c>
      <c r="L405">
        <v>2</v>
      </c>
      <c r="M405">
        <v>2</v>
      </c>
      <c r="N405">
        <v>3</v>
      </c>
      <c r="O405">
        <v>4</v>
      </c>
      <c r="P405" t="s">
        <v>36</v>
      </c>
    </row>
    <row r="406" spans="1:16" x14ac:dyDescent="0.25">
      <c r="A406" t="s">
        <v>755</v>
      </c>
      <c r="B406">
        <v>23</v>
      </c>
      <c r="C406" t="s">
        <v>18</v>
      </c>
      <c r="D406" t="s">
        <v>19</v>
      </c>
      <c r="E406" t="s">
        <v>20</v>
      </c>
      <c r="F406" t="s">
        <v>21</v>
      </c>
      <c r="G406" t="s">
        <v>756</v>
      </c>
      <c r="H406">
        <v>5</v>
      </c>
      <c r="I406">
        <v>11743</v>
      </c>
      <c r="J406">
        <v>1</v>
      </c>
      <c r="K406" t="s">
        <v>36</v>
      </c>
      <c r="L406">
        <v>2</v>
      </c>
      <c r="M406">
        <v>4</v>
      </c>
      <c r="N406">
        <v>3</v>
      </c>
      <c r="O406">
        <v>4</v>
      </c>
      <c r="P406" t="s">
        <v>36</v>
      </c>
    </row>
    <row r="407" spans="1:16" x14ac:dyDescent="0.25">
      <c r="A407" t="s">
        <v>757</v>
      </c>
      <c r="B407">
        <v>31</v>
      </c>
      <c r="C407" t="s">
        <v>18</v>
      </c>
      <c r="D407" t="s">
        <v>27</v>
      </c>
      <c r="E407" t="s">
        <v>20</v>
      </c>
      <c r="F407" t="s">
        <v>40</v>
      </c>
      <c r="G407" t="s">
        <v>126</v>
      </c>
      <c r="H407">
        <v>3</v>
      </c>
      <c r="I407">
        <v>4456</v>
      </c>
      <c r="J407">
        <v>15</v>
      </c>
      <c r="K407" t="s">
        <v>24</v>
      </c>
      <c r="L407">
        <v>4</v>
      </c>
      <c r="M407">
        <v>4</v>
      </c>
      <c r="N407">
        <v>3</v>
      </c>
      <c r="O407">
        <v>3</v>
      </c>
      <c r="P407" t="s">
        <v>24</v>
      </c>
    </row>
    <row r="408" spans="1:16" x14ac:dyDescent="0.25">
      <c r="A408" t="s">
        <v>758</v>
      </c>
      <c r="B408">
        <v>40</v>
      </c>
      <c r="C408" t="s">
        <v>26</v>
      </c>
      <c r="D408" t="s">
        <v>19</v>
      </c>
      <c r="E408" t="s">
        <v>28</v>
      </c>
      <c r="F408" t="s">
        <v>59</v>
      </c>
      <c r="G408" t="s">
        <v>759</v>
      </c>
      <c r="H408">
        <v>2</v>
      </c>
      <c r="I408">
        <v>6494</v>
      </c>
      <c r="J408">
        <v>28</v>
      </c>
      <c r="K408" t="s">
        <v>24</v>
      </c>
      <c r="L408">
        <v>3</v>
      </c>
      <c r="M408">
        <v>4</v>
      </c>
      <c r="N408">
        <v>4</v>
      </c>
      <c r="O408">
        <v>4</v>
      </c>
      <c r="P408" t="s">
        <v>24</v>
      </c>
    </row>
    <row r="409" spans="1:16" x14ac:dyDescent="0.25">
      <c r="A409" t="s">
        <v>760</v>
      </c>
      <c r="B409">
        <v>35</v>
      </c>
      <c r="C409" t="s">
        <v>18</v>
      </c>
      <c r="D409" t="s">
        <v>33</v>
      </c>
      <c r="E409" t="s">
        <v>28</v>
      </c>
      <c r="F409" t="s">
        <v>64</v>
      </c>
      <c r="G409" t="s">
        <v>761</v>
      </c>
      <c r="H409">
        <v>1</v>
      </c>
      <c r="I409">
        <v>4237</v>
      </c>
      <c r="J409">
        <v>6</v>
      </c>
      <c r="K409" t="s">
        <v>24</v>
      </c>
      <c r="L409">
        <v>2</v>
      </c>
      <c r="M409">
        <v>2</v>
      </c>
      <c r="N409">
        <v>3</v>
      </c>
      <c r="O409">
        <v>3</v>
      </c>
      <c r="P409" t="s">
        <v>36</v>
      </c>
    </row>
    <row r="410" spans="1:16" x14ac:dyDescent="0.25">
      <c r="A410" t="s">
        <v>762</v>
      </c>
      <c r="B410">
        <v>30</v>
      </c>
      <c r="C410" t="s">
        <v>26</v>
      </c>
      <c r="D410" t="s">
        <v>19</v>
      </c>
      <c r="E410" t="s">
        <v>20</v>
      </c>
      <c r="F410" t="s">
        <v>21</v>
      </c>
      <c r="G410" t="s">
        <v>763</v>
      </c>
      <c r="H410">
        <v>5</v>
      </c>
      <c r="I410">
        <v>10447</v>
      </c>
      <c r="J410">
        <v>5</v>
      </c>
      <c r="K410" t="s">
        <v>36</v>
      </c>
      <c r="L410">
        <v>4</v>
      </c>
      <c r="M410">
        <v>3</v>
      </c>
      <c r="N410">
        <v>3</v>
      </c>
      <c r="O410">
        <v>1</v>
      </c>
      <c r="P410" t="s">
        <v>36</v>
      </c>
    </row>
    <row r="411" spans="1:16" x14ac:dyDescent="0.25">
      <c r="A411" t="s">
        <v>1178</v>
      </c>
      <c r="B411">
        <v>34</v>
      </c>
      <c r="C411" t="s">
        <v>26</v>
      </c>
      <c r="D411" t="s">
        <v>19</v>
      </c>
      <c r="E411" t="s">
        <v>28</v>
      </c>
      <c r="F411" t="s">
        <v>64</v>
      </c>
      <c r="G411" t="s">
        <v>565</v>
      </c>
      <c r="H411">
        <v>0</v>
      </c>
      <c r="J411">
        <v>4</v>
      </c>
      <c r="K411" t="s">
        <v>24</v>
      </c>
      <c r="L411">
        <v>4</v>
      </c>
      <c r="M411">
        <v>3</v>
      </c>
      <c r="N411">
        <v>3</v>
      </c>
      <c r="O411">
        <v>4</v>
      </c>
      <c r="P411" t="s">
        <v>24</v>
      </c>
    </row>
    <row r="412" spans="1:16" x14ac:dyDescent="0.25">
      <c r="A412" t="s">
        <v>80</v>
      </c>
      <c r="B412">
        <v>28</v>
      </c>
      <c r="C412" t="s">
        <v>18</v>
      </c>
      <c r="D412" t="s">
        <v>19</v>
      </c>
      <c r="E412" t="s">
        <v>28</v>
      </c>
      <c r="F412" t="s">
        <v>29</v>
      </c>
      <c r="G412" t="s">
        <v>81</v>
      </c>
      <c r="H412">
        <v>1</v>
      </c>
      <c r="I412">
        <v>10600</v>
      </c>
      <c r="J412">
        <v>3</v>
      </c>
      <c r="K412" t="s">
        <v>36</v>
      </c>
      <c r="L412">
        <v>3</v>
      </c>
      <c r="M412">
        <v>2</v>
      </c>
      <c r="N412">
        <v>3</v>
      </c>
      <c r="O412">
        <v>1</v>
      </c>
      <c r="P412" t="s">
        <v>36</v>
      </c>
    </row>
    <row r="413" spans="1:16" x14ac:dyDescent="0.25">
      <c r="A413" t="s">
        <v>764</v>
      </c>
      <c r="B413">
        <v>28</v>
      </c>
      <c r="C413" t="s">
        <v>18</v>
      </c>
      <c r="D413" t="s">
        <v>27</v>
      </c>
      <c r="E413" t="s">
        <v>28</v>
      </c>
      <c r="F413" t="s">
        <v>59</v>
      </c>
      <c r="G413" t="s">
        <v>765</v>
      </c>
      <c r="H413">
        <v>2</v>
      </c>
      <c r="I413">
        <v>5728</v>
      </c>
      <c r="J413">
        <v>3</v>
      </c>
      <c r="K413" t="s">
        <v>24</v>
      </c>
      <c r="L413">
        <v>3</v>
      </c>
      <c r="M413">
        <v>4</v>
      </c>
      <c r="N413">
        <v>3</v>
      </c>
      <c r="O413">
        <v>3</v>
      </c>
      <c r="P413" t="s">
        <v>24</v>
      </c>
    </row>
    <row r="414" spans="1:16" x14ac:dyDescent="0.25">
      <c r="A414" t="s">
        <v>766</v>
      </c>
      <c r="B414">
        <v>29</v>
      </c>
      <c r="C414" t="s">
        <v>18</v>
      </c>
      <c r="D414" t="s">
        <v>33</v>
      </c>
      <c r="E414" t="s">
        <v>110</v>
      </c>
      <c r="F414" t="s">
        <v>111</v>
      </c>
      <c r="G414" t="s">
        <v>466</v>
      </c>
      <c r="H414">
        <v>0</v>
      </c>
      <c r="I414">
        <v>5113</v>
      </c>
      <c r="J414">
        <v>1</v>
      </c>
      <c r="K414" t="s">
        <v>24</v>
      </c>
      <c r="L414">
        <v>4</v>
      </c>
      <c r="M414">
        <v>2</v>
      </c>
      <c r="N414">
        <v>3</v>
      </c>
      <c r="O414">
        <v>2</v>
      </c>
      <c r="P414" t="s">
        <v>36</v>
      </c>
    </row>
    <row r="415" spans="1:16" x14ac:dyDescent="0.25">
      <c r="A415" t="s">
        <v>767</v>
      </c>
      <c r="B415">
        <v>43</v>
      </c>
      <c r="C415" t="s">
        <v>26</v>
      </c>
      <c r="D415" t="s">
        <v>19</v>
      </c>
      <c r="E415" t="s">
        <v>28</v>
      </c>
      <c r="F415" t="s">
        <v>59</v>
      </c>
      <c r="G415" t="s">
        <v>443</v>
      </c>
      <c r="H415">
        <v>0</v>
      </c>
      <c r="I415">
        <v>6192</v>
      </c>
      <c r="J415">
        <v>2</v>
      </c>
      <c r="K415" t="s">
        <v>24</v>
      </c>
      <c r="L415">
        <v>3</v>
      </c>
      <c r="M415">
        <v>3</v>
      </c>
      <c r="N415">
        <v>4</v>
      </c>
      <c r="O415">
        <v>4</v>
      </c>
      <c r="P415" t="s">
        <v>24</v>
      </c>
    </row>
    <row r="416" spans="1:16" x14ac:dyDescent="0.25">
      <c r="A416" t="s">
        <v>768</v>
      </c>
      <c r="B416">
        <v>34</v>
      </c>
      <c r="C416" t="s">
        <v>18</v>
      </c>
      <c r="D416" t="s">
        <v>27</v>
      </c>
      <c r="E416" t="s">
        <v>28</v>
      </c>
      <c r="F416" t="s">
        <v>59</v>
      </c>
      <c r="G416" t="s">
        <v>769</v>
      </c>
      <c r="H416">
        <v>6</v>
      </c>
      <c r="I416">
        <v>5212</v>
      </c>
      <c r="J416">
        <v>5</v>
      </c>
      <c r="K416" t="s">
        <v>36</v>
      </c>
      <c r="L416">
        <v>3</v>
      </c>
      <c r="M416">
        <v>4</v>
      </c>
      <c r="N416">
        <v>4</v>
      </c>
      <c r="O416">
        <v>4</v>
      </c>
      <c r="P416" t="s">
        <v>24</v>
      </c>
    </row>
    <row r="417" spans="1:16" x14ac:dyDescent="0.25">
      <c r="A417" t="s">
        <v>770</v>
      </c>
      <c r="B417">
        <v>40</v>
      </c>
      <c r="C417" t="s">
        <v>26</v>
      </c>
      <c r="D417" t="s">
        <v>19</v>
      </c>
      <c r="E417" t="s">
        <v>28</v>
      </c>
      <c r="F417" t="s">
        <v>29</v>
      </c>
      <c r="G417" t="s">
        <v>771</v>
      </c>
      <c r="H417">
        <v>4</v>
      </c>
      <c r="I417">
        <v>12833</v>
      </c>
      <c r="J417">
        <v>17</v>
      </c>
      <c r="K417" t="s">
        <v>24</v>
      </c>
      <c r="L417">
        <v>4</v>
      </c>
      <c r="M417">
        <v>2</v>
      </c>
      <c r="N417">
        <v>3</v>
      </c>
      <c r="O417">
        <v>5</v>
      </c>
      <c r="P417" t="s">
        <v>24</v>
      </c>
    </row>
    <row r="418" spans="1:16" x14ac:dyDescent="0.25">
      <c r="A418" t="s">
        <v>772</v>
      </c>
      <c r="B418">
        <v>26</v>
      </c>
      <c r="C418" t="s">
        <v>26</v>
      </c>
      <c r="D418" t="s">
        <v>27</v>
      </c>
      <c r="E418" t="s">
        <v>28</v>
      </c>
      <c r="F418" t="s">
        <v>59</v>
      </c>
      <c r="G418" t="s">
        <v>536</v>
      </c>
      <c r="H418">
        <v>0</v>
      </c>
      <c r="I418">
        <v>5431</v>
      </c>
      <c r="J418">
        <v>1</v>
      </c>
      <c r="K418" t="s">
        <v>24</v>
      </c>
      <c r="L418">
        <v>3</v>
      </c>
      <c r="M418">
        <v>2</v>
      </c>
      <c r="N418">
        <v>4</v>
      </c>
      <c r="O418">
        <v>0</v>
      </c>
      <c r="P418" t="s">
        <v>24</v>
      </c>
    </row>
    <row r="419" spans="1:16" x14ac:dyDescent="0.25">
      <c r="A419" t="s">
        <v>773</v>
      </c>
      <c r="B419">
        <v>22</v>
      </c>
      <c r="C419" t="s">
        <v>26</v>
      </c>
      <c r="D419" t="s">
        <v>27</v>
      </c>
      <c r="E419" t="s">
        <v>28</v>
      </c>
      <c r="F419" t="s">
        <v>59</v>
      </c>
      <c r="G419" t="s">
        <v>774</v>
      </c>
      <c r="H419">
        <v>0</v>
      </c>
      <c r="I419">
        <v>5890</v>
      </c>
      <c r="J419">
        <v>17</v>
      </c>
      <c r="K419" t="s">
        <v>24</v>
      </c>
      <c r="L419">
        <v>2</v>
      </c>
      <c r="M419">
        <v>3</v>
      </c>
      <c r="N419">
        <v>4</v>
      </c>
      <c r="O419">
        <v>1</v>
      </c>
      <c r="P419" t="s">
        <v>24</v>
      </c>
    </row>
    <row r="420" spans="1:16" x14ac:dyDescent="0.25">
      <c r="A420" t="s">
        <v>775</v>
      </c>
      <c r="B420">
        <v>49</v>
      </c>
      <c r="C420" t="s">
        <v>18</v>
      </c>
      <c r="D420" t="s">
        <v>33</v>
      </c>
      <c r="E420" t="s">
        <v>28</v>
      </c>
      <c r="F420" t="s">
        <v>29</v>
      </c>
      <c r="G420" t="s">
        <v>445</v>
      </c>
      <c r="H420">
        <v>2</v>
      </c>
      <c r="I420">
        <v>14145</v>
      </c>
      <c r="J420">
        <v>1</v>
      </c>
      <c r="K420" t="s">
        <v>36</v>
      </c>
      <c r="L420">
        <v>1</v>
      </c>
      <c r="M420">
        <v>3</v>
      </c>
      <c r="N420">
        <v>3</v>
      </c>
      <c r="O420">
        <v>5</v>
      </c>
      <c r="P420" t="s">
        <v>36</v>
      </c>
    </row>
    <row r="421" spans="1:16" x14ac:dyDescent="0.25">
      <c r="A421" t="s">
        <v>1179</v>
      </c>
      <c r="B421">
        <v>50</v>
      </c>
      <c r="C421" t="s">
        <v>18</v>
      </c>
      <c r="D421" t="s">
        <v>19</v>
      </c>
      <c r="E421" t="s">
        <v>28</v>
      </c>
      <c r="F421" t="s">
        <v>64</v>
      </c>
      <c r="G421" t="s">
        <v>1180</v>
      </c>
      <c r="H421">
        <v>2</v>
      </c>
      <c r="I421">
        <v>4457</v>
      </c>
      <c r="J421">
        <v>26</v>
      </c>
      <c r="K421" t="s">
        <v>36</v>
      </c>
      <c r="M421">
        <v>3</v>
      </c>
      <c r="N421">
        <v>3</v>
      </c>
      <c r="O421">
        <v>3</v>
      </c>
      <c r="P421" t="s">
        <v>24</v>
      </c>
    </row>
    <row r="422" spans="1:16" x14ac:dyDescent="0.25">
      <c r="A422" t="s">
        <v>776</v>
      </c>
      <c r="B422">
        <v>38</v>
      </c>
      <c r="C422" t="s">
        <v>18</v>
      </c>
      <c r="D422" t="s">
        <v>33</v>
      </c>
      <c r="E422" t="s">
        <v>28</v>
      </c>
      <c r="F422" t="s">
        <v>34</v>
      </c>
      <c r="G422" t="s">
        <v>777</v>
      </c>
      <c r="H422">
        <v>2</v>
      </c>
      <c r="I422">
        <v>2732</v>
      </c>
      <c r="J422">
        <v>6</v>
      </c>
      <c r="K422" t="s">
        <v>24</v>
      </c>
      <c r="L422">
        <v>4</v>
      </c>
      <c r="M422">
        <v>4</v>
      </c>
      <c r="N422">
        <v>4</v>
      </c>
      <c r="O422">
        <v>2</v>
      </c>
      <c r="P422" t="s">
        <v>24</v>
      </c>
    </row>
    <row r="423" spans="1:16" x14ac:dyDescent="0.25">
      <c r="A423" t="s">
        <v>778</v>
      </c>
      <c r="B423">
        <v>30</v>
      </c>
      <c r="C423" t="s">
        <v>18</v>
      </c>
      <c r="D423" t="s">
        <v>19</v>
      </c>
      <c r="E423" t="s">
        <v>28</v>
      </c>
      <c r="F423" t="s">
        <v>34</v>
      </c>
      <c r="G423" t="s">
        <v>779</v>
      </c>
      <c r="H423">
        <v>4</v>
      </c>
      <c r="I423">
        <v>2882</v>
      </c>
      <c r="J423">
        <v>5</v>
      </c>
      <c r="K423" t="s">
        <v>24</v>
      </c>
      <c r="L423">
        <v>1</v>
      </c>
      <c r="M423">
        <v>4</v>
      </c>
      <c r="N423">
        <v>3</v>
      </c>
      <c r="O423">
        <v>4</v>
      </c>
      <c r="P423" t="s">
        <v>24</v>
      </c>
    </row>
    <row r="424" spans="1:16" x14ac:dyDescent="0.25">
      <c r="A424" t="s">
        <v>780</v>
      </c>
      <c r="B424">
        <v>32</v>
      </c>
      <c r="C424" t="s">
        <v>26</v>
      </c>
      <c r="D424" t="s">
        <v>27</v>
      </c>
      <c r="E424" t="s">
        <v>1140</v>
      </c>
      <c r="F424" t="s">
        <v>34</v>
      </c>
      <c r="G424" t="s">
        <v>781</v>
      </c>
      <c r="H424">
        <v>11</v>
      </c>
      <c r="I424">
        <v>3702</v>
      </c>
      <c r="J424">
        <v>26</v>
      </c>
      <c r="K424" t="s">
        <v>36</v>
      </c>
      <c r="L424">
        <v>2</v>
      </c>
      <c r="M424">
        <v>3</v>
      </c>
      <c r="N424">
        <v>3</v>
      </c>
      <c r="O424">
        <v>4</v>
      </c>
      <c r="P424" t="s">
        <v>24</v>
      </c>
    </row>
    <row r="425" spans="1:16" x14ac:dyDescent="0.25">
      <c r="A425" t="s">
        <v>782</v>
      </c>
      <c r="B425">
        <v>20</v>
      </c>
      <c r="C425" t="s">
        <v>26</v>
      </c>
      <c r="D425" t="s">
        <v>33</v>
      </c>
      <c r="E425" t="s">
        <v>28</v>
      </c>
      <c r="F425" t="s">
        <v>34</v>
      </c>
      <c r="G425" t="s">
        <v>783</v>
      </c>
      <c r="H425">
        <v>1</v>
      </c>
      <c r="I425">
        <v>2716</v>
      </c>
      <c r="J425">
        <v>30</v>
      </c>
      <c r="K425" t="s">
        <v>24</v>
      </c>
      <c r="L425">
        <v>4</v>
      </c>
      <c r="M425">
        <v>3</v>
      </c>
      <c r="N425">
        <v>3</v>
      </c>
      <c r="O425">
        <v>3</v>
      </c>
      <c r="P425" t="s">
        <v>24</v>
      </c>
    </row>
    <row r="426" spans="1:16" x14ac:dyDescent="0.25">
      <c r="A426" t="s">
        <v>784</v>
      </c>
      <c r="B426">
        <v>31</v>
      </c>
      <c r="C426" t="s">
        <v>18</v>
      </c>
      <c r="D426" t="s">
        <v>19</v>
      </c>
      <c r="E426" t="s">
        <v>20</v>
      </c>
      <c r="F426" t="s">
        <v>44</v>
      </c>
      <c r="G426" t="s">
        <v>785</v>
      </c>
      <c r="H426">
        <v>7</v>
      </c>
      <c r="I426">
        <v>7652</v>
      </c>
      <c r="J426">
        <v>7</v>
      </c>
      <c r="K426" t="s">
        <v>24</v>
      </c>
      <c r="L426">
        <v>3</v>
      </c>
      <c r="M426">
        <v>3</v>
      </c>
      <c r="N426">
        <v>3</v>
      </c>
      <c r="O426">
        <v>4</v>
      </c>
      <c r="P426" t="s">
        <v>24</v>
      </c>
    </row>
    <row r="427" spans="1:16" x14ac:dyDescent="0.25">
      <c r="A427" t="s">
        <v>786</v>
      </c>
      <c r="B427">
        <v>39</v>
      </c>
      <c r="C427" t="s">
        <v>18</v>
      </c>
      <c r="D427" t="s">
        <v>19</v>
      </c>
      <c r="E427" t="s">
        <v>20</v>
      </c>
      <c r="F427" t="s">
        <v>44</v>
      </c>
      <c r="G427" t="s">
        <v>787</v>
      </c>
      <c r="H427">
        <v>2</v>
      </c>
      <c r="I427">
        <v>5073</v>
      </c>
      <c r="J427">
        <v>4</v>
      </c>
      <c r="K427" t="s">
        <v>24</v>
      </c>
      <c r="L427">
        <v>3</v>
      </c>
      <c r="M427">
        <v>2</v>
      </c>
      <c r="N427">
        <v>3</v>
      </c>
      <c r="O427">
        <v>4</v>
      </c>
      <c r="P427" t="s">
        <v>24</v>
      </c>
    </row>
    <row r="428" spans="1:16" x14ac:dyDescent="0.25">
      <c r="A428" t="s">
        <v>788</v>
      </c>
      <c r="B428">
        <v>25</v>
      </c>
      <c r="C428" t="s">
        <v>26</v>
      </c>
      <c r="D428" t="s">
        <v>33</v>
      </c>
      <c r="E428" t="s">
        <v>28</v>
      </c>
      <c r="F428" t="s">
        <v>29</v>
      </c>
      <c r="G428" t="s">
        <v>789</v>
      </c>
      <c r="H428">
        <v>2</v>
      </c>
      <c r="I428">
        <v>15340</v>
      </c>
      <c r="J428">
        <v>12</v>
      </c>
      <c r="K428" t="s">
        <v>24</v>
      </c>
      <c r="L428">
        <v>4</v>
      </c>
      <c r="M428">
        <v>4</v>
      </c>
      <c r="N428">
        <v>3</v>
      </c>
      <c r="O428">
        <v>5</v>
      </c>
      <c r="P428" t="s">
        <v>24</v>
      </c>
    </row>
    <row r="429" spans="1:16" x14ac:dyDescent="0.25">
      <c r="A429" t="s">
        <v>790</v>
      </c>
      <c r="B429">
        <v>32</v>
      </c>
      <c r="C429" t="s">
        <v>26</v>
      </c>
      <c r="D429" t="s">
        <v>19</v>
      </c>
      <c r="E429" t="s">
        <v>20</v>
      </c>
      <c r="F429" t="s">
        <v>44</v>
      </c>
      <c r="G429" t="s">
        <v>232</v>
      </c>
      <c r="H429">
        <v>1</v>
      </c>
      <c r="I429">
        <v>7716</v>
      </c>
      <c r="J429">
        <v>1</v>
      </c>
      <c r="K429" t="s">
        <v>24</v>
      </c>
      <c r="L429">
        <v>2</v>
      </c>
      <c r="M429">
        <v>3</v>
      </c>
      <c r="N429">
        <v>3</v>
      </c>
      <c r="O429">
        <v>0</v>
      </c>
      <c r="P429" t="s">
        <v>24</v>
      </c>
    </row>
    <row r="430" spans="1:16" x14ac:dyDescent="0.25">
      <c r="A430" t="s">
        <v>791</v>
      </c>
      <c r="B430">
        <v>42</v>
      </c>
      <c r="C430" t="s">
        <v>18</v>
      </c>
      <c r="D430" t="s">
        <v>19</v>
      </c>
      <c r="E430" t="s">
        <v>28</v>
      </c>
      <c r="F430" t="s">
        <v>59</v>
      </c>
      <c r="G430" t="s">
        <v>792</v>
      </c>
      <c r="H430">
        <v>1</v>
      </c>
      <c r="I430">
        <v>6665</v>
      </c>
      <c r="J430">
        <v>1</v>
      </c>
      <c r="K430" t="s">
        <v>36</v>
      </c>
      <c r="L430">
        <v>1</v>
      </c>
      <c r="M430">
        <v>4</v>
      </c>
      <c r="N430">
        <v>3</v>
      </c>
      <c r="O430">
        <v>3</v>
      </c>
      <c r="P430" t="s">
        <v>36</v>
      </c>
    </row>
    <row r="431" spans="1:16" x14ac:dyDescent="0.25">
      <c r="A431" t="s">
        <v>793</v>
      </c>
      <c r="B431">
        <v>25</v>
      </c>
      <c r="C431" t="s">
        <v>26</v>
      </c>
      <c r="D431" t="s">
        <v>19</v>
      </c>
      <c r="E431" t="s">
        <v>20</v>
      </c>
      <c r="F431" t="s">
        <v>40</v>
      </c>
      <c r="G431" t="s">
        <v>794</v>
      </c>
      <c r="H431">
        <v>2</v>
      </c>
      <c r="I431">
        <v>4072</v>
      </c>
      <c r="J431">
        <v>11</v>
      </c>
      <c r="K431" t="s">
        <v>24</v>
      </c>
      <c r="L431">
        <v>4</v>
      </c>
      <c r="M431">
        <v>3</v>
      </c>
      <c r="N431">
        <v>4</v>
      </c>
      <c r="O431">
        <v>2</v>
      </c>
      <c r="P431" t="s">
        <v>24</v>
      </c>
    </row>
    <row r="432" spans="1:16" x14ac:dyDescent="0.25">
      <c r="A432" t="s">
        <v>795</v>
      </c>
      <c r="B432">
        <v>27</v>
      </c>
      <c r="C432" t="s">
        <v>26</v>
      </c>
      <c r="D432" t="s">
        <v>33</v>
      </c>
      <c r="E432" t="s">
        <v>28</v>
      </c>
      <c r="F432" t="s">
        <v>59</v>
      </c>
      <c r="G432" t="s">
        <v>796</v>
      </c>
      <c r="H432">
        <v>1</v>
      </c>
      <c r="I432">
        <v>5580</v>
      </c>
      <c r="J432">
        <v>7</v>
      </c>
      <c r="K432" t="s">
        <v>24</v>
      </c>
      <c r="L432">
        <v>4</v>
      </c>
      <c r="M432">
        <v>3</v>
      </c>
      <c r="N432">
        <v>4</v>
      </c>
      <c r="O432">
        <v>2</v>
      </c>
      <c r="P432" t="s">
        <v>24</v>
      </c>
    </row>
    <row r="433" spans="1:16" x14ac:dyDescent="0.25">
      <c r="A433" t="s">
        <v>797</v>
      </c>
      <c r="B433">
        <v>42</v>
      </c>
      <c r="C433" t="s">
        <v>18</v>
      </c>
      <c r="D433" t="s">
        <v>33</v>
      </c>
      <c r="E433" t="s">
        <v>28</v>
      </c>
      <c r="F433" t="s">
        <v>34</v>
      </c>
      <c r="G433" t="s">
        <v>798</v>
      </c>
      <c r="H433">
        <v>2</v>
      </c>
      <c r="I433">
        <v>2982</v>
      </c>
      <c r="J433">
        <v>8</v>
      </c>
      <c r="K433" t="s">
        <v>24</v>
      </c>
      <c r="L433">
        <v>2</v>
      </c>
      <c r="M433">
        <v>3</v>
      </c>
      <c r="N433">
        <v>3</v>
      </c>
      <c r="O433">
        <v>5</v>
      </c>
      <c r="P433" t="s">
        <v>24</v>
      </c>
    </row>
    <row r="434" spans="1:16" x14ac:dyDescent="0.25">
      <c r="A434" t="s">
        <v>799</v>
      </c>
      <c r="B434">
        <v>41</v>
      </c>
      <c r="C434" t="s">
        <v>18</v>
      </c>
      <c r="D434" t="s">
        <v>33</v>
      </c>
      <c r="E434" t="s">
        <v>20</v>
      </c>
      <c r="F434" t="s">
        <v>44</v>
      </c>
      <c r="G434" t="s">
        <v>800</v>
      </c>
      <c r="H434">
        <v>2</v>
      </c>
      <c r="I434">
        <v>5880</v>
      </c>
      <c r="J434">
        <v>2</v>
      </c>
      <c r="K434" t="s">
        <v>36</v>
      </c>
      <c r="L434">
        <v>4</v>
      </c>
      <c r="M434">
        <v>4</v>
      </c>
      <c r="N434">
        <v>3</v>
      </c>
      <c r="O434">
        <v>5</v>
      </c>
      <c r="P434" t="s">
        <v>36</v>
      </c>
    </row>
    <row r="435" spans="1:16" x14ac:dyDescent="0.25">
      <c r="A435" t="s">
        <v>1181</v>
      </c>
      <c r="B435">
        <v>44</v>
      </c>
      <c r="C435" t="s">
        <v>26</v>
      </c>
      <c r="D435" t="s">
        <v>19</v>
      </c>
      <c r="E435" t="s">
        <v>28</v>
      </c>
      <c r="F435" t="s">
        <v>29</v>
      </c>
      <c r="G435" t="s">
        <v>1182</v>
      </c>
      <c r="H435">
        <v>2</v>
      </c>
      <c r="J435">
        <v>1</v>
      </c>
      <c r="K435" t="s">
        <v>36</v>
      </c>
      <c r="L435">
        <v>1</v>
      </c>
      <c r="M435">
        <v>3</v>
      </c>
      <c r="N435">
        <v>3</v>
      </c>
      <c r="O435">
        <v>3</v>
      </c>
      <c r="P435" t="s">
        <v>36</v>
      </c>
    </row>
    <row r="436" spans="1:16" x14ac:dyDescent="0.25">
      <c r="A436" t="s">
        <v>801</v>
      </c>
      <c r="B436">
        <v>26</v>
      </c>
      <c r="C436" t="s">
        <v>26</v>
      </c>
      <c r="D436" t="s">
        <v>33</v>
      </c>
      <c r="E436" t="s">
        <v>28</v>
      </c>
      <c r="F436" t="s">
        <v>34</v>
      </c>
      <c r="G436" t="s">
        <v>802</v>
      </c>
      <c r="H436">
        <v>5</v>
      </c>
      <c r="I436">
        <v>2901</v>
      </c>
      <c r="J436">
        <v>17</v>
      </c>
      <c r="K436" t="s">
        <v>24</v>
      </c>
      <c r="L436">
        <v>3</v>
      </c>
      <c r="M436">
        <v>3</v>
      </c>
      <c r="N436">
        <v>3</v>
      </c>
      <c r="O436">
        <v>0</v>
      </c>
      <c r="P436" t="s">
        <v>24</v>
      </c>
    </row>
    <row r="437" spans="1:16" x14ac:dyDescent="0.25">
      <c r="A437" t="s">
        <v>803</v>
      </c>
      <c r="B437">
        <v>32</v>
      </c>
      <c r="C437" t="s">
        <v>18</v>
      </c>
      <c r="D437" t="s">
        <v>33</v>
      </c>
      <c r="E437" t="s">
        <v>28</v>
      </c>
      <c r="F437" t="s">
        <v>34</v>
      </c>
      <c r="G437" t="s">
        <v>804</v>
      </c>
      <c r="H437">
        <v>9</v>
      </c>
      <c r="I437">
        <v>3217</v>
      </c>
      <c r="J437">
        <v>11</v>
      </c>
      <c r="K437" t="s">
        <v>24</v>
      </c>
      <c r="L437">
        <v>4</v>
      </c>
      <c r="M437">
        <v>2</v>
      </c>
      <c r="N437">
        <v>3</v>
      </c>
      <c r="O437">
        <v>5</v>
      </c>
      <c r="P437" t="s">
        <v>24</v>
      </c>
    </row>
    <row r="438" spans="1:16" x14ac:dyDescent="0.25">
      <c r="A438" t="s">
        <v>805</v>
      </c>
      <c r="B438">
        <v>40</v>
      </c>
      <c r="C438" t="s">
        <v>26</v>
      </c>
      <c r="D438" t="s">
        <v>33</v>
      </c>
      <c r="E438" t="s">
        <v>20</v>
      </c>
      <c r="F438" t="s">
        <v>21</v>
      </c>
      <c r="G438" t="s">
        <v>806</v>
      </c>
      <c r="H438">
        <v>1</v>
      </c>
      <c r="I438">
        <v>12759</v>
      </c>
      <c r="J438">
        <v>7</v>
      </c>
      <c r="K438" t="s">
        <v>24</v>
      </c>
      <c r="L438">
        <v>1</v>
      </c>
      <c r="M438">
        <v>2</v>
      </c>
      <c r="N438">
        <v>3</v>
      </c>
      <c r="O438">
        <v>0</v>
      </c>
      <c r="P438" t="s">
        <v>36</v>
      </c>
    </row>
    <row r="439" spans="1:16" x14ac:dyDescent="0.25">
      <c r="A439" t="s">
        <v>807</v>
      </c>
      <c r="B439">
        <v>41</v>
      </c>
      <c r="C439" t="s">
        <v>18</v>
      </c>
      <c r="D439" t="s">
        <v>19</v>
      </c>
      <c r="E439" t="s">
        <v>20</v>
      </c>
      <c r="F439" t="s">
        <v>40</v>
      </c>
      <c r="G439" t="s">
        <v>808</v>
      </c>
      <c r="H439">
        <v>2</v>
      </c>
      <c r="I439">
        <v>5091</v>
      </c>
      <c r="J439">
        <v>5</v>
      </c>
      <c r="K439" t="s">
        <v>36</v>
      </c>
      <c r="L439">
        <v>3</v>
      </c>
      <c r="M439">
        <v>2</v>
      </c>
      <c r="N439">
        <v>3</v>
      </c>
      <c r="O439">
        <v>3</v>
      </c>
      <c r="P439" t="s">
        <v>36</v>
      </c>
    </row>
    <row r="440" spans="1:16" x14ac:dyDescent="0.25">
      <c r="A440" t="s">
        <v>809</v>
      </c>
      <c r="B440">
        <v>29</v>
      </c>
      <c r="C440" t="s">
        <v>18</v>
      </c>
      <c r="D440" t="s">
        <v>33</v>
      </c>
      <c r="E440" t="s">
        <v>28</v>
      </c>
      <c r="F440" t="s">
        <v>29</v>
      </c>
      <c r="G440" t="s">
        <v>810</v>
      </c>
      <c r="H440">
        <v>1</v>
      </c>
      <c r="I440">
        <v>7500</v>
      </c>
      <c r="J440">
        <v>12</v>
      </c>
      <c r="K440" t="s">
        <v>24</v>
      </c>
      <c r="L440">
        <v>2</v>
      </c>
      <c r="M440">
        <v>4</v>
      </c>
      <c r="N440">
        <v>3</v>
      </c>
      <c r="O440">
        <v>2</v>
      </c>
      <c r="P440" t="s">
        <v>36</v>
      </c>
    </row>
    <row r="441" spans="1:16" x14ac:dyDescent="0.25">
      <c r="A441" t="s">
        <v>811</v>
      </c>
      <c r="B441">
        <v>20</v>
      </c>
      <c r="C441" t="s">
        <v>26</v>
      </c>
      <c r="D441" t="s">
        <v>33</v>
      </c>
      <c r="E441" t="s">
        <v>20</v>
      </c>
      <c r="F441" t="s">
        <v>21</v>
      </c>
      <c r="G441" t="s">
        <v>812</v>
      </c>
      <c r="H441">
        <v>0</v>
      </c>
      <c r="I441">
        <v>12403</v>
      </c>
      <c r="J441">
        <v>12</v>
      </c>
      <c r="K441" t="s">
        <v>24</v>
      </c>
      <c r="L441">
        <v>4</v>
      </c>
      <c r="M441">
        <v>3</v>
      </c>
      <c r="N441">
        <v>4</v>
      </c>
      <c r="O441">
        <v>2</v>
      </c>
      <c r="P441" t="s">
        <v>24</v>
      </c>
    </row>
    <row r="442" spans="1:16" x14ac:dyDescent="0.25">
      <c r="A442" t="s">
        <v>813</v>
      </c>
      <c r="B442">
        <v>20</v>
      </c>
      <c r="C442" t="s">
        <v>18</v>
      </c>
      <c r="D442" t="s">
        <v>27</v>
      </c>
      <c r="E442" t="s">
        <v>28</v>
      </c>
      <c r="F442" t="s">
        <v>34</v>
      </c>
      <c r="G442" t="s">
        <v>376</v>
      </c>
      <c r="H442">
        <v>3</v>
      </c>
      <c r="I442">
        <v>3476</v>
      </c>
      <c r="J442">
        <v>3</v>
      </c>
      <c r="K442" t="s">
        <v>24</v>
      </c>
      <c r="L442">
        <v>4</v>
      </c>
      <c r="M442">
        <v>4</v>
      </c>
      <c r="N442">
        <v>3</v>
      </c>
      <c r="O442">
        <v>2</v>
      </c>
      <c r="P442" t="s">
        <v>24</v>
      </c>
    </row>
    <row r="443" spans="1:16" x14ac:dyDescent="0.25">
      <c r="A443" t="s">
        <v>814</v>
      </c>
      <c r="B443">
        <v>33</v>
      </c>
      <c r="C443" t="s">
        <v>26</v>
      </c>
      <c r="D443" t="s">
        <v>33</v>
      </c>
      <c r="E443" t="s">
        <v>20</v>
      </c>
      <c r="F443" t="s">
        <v>40</v>
      </c>
      <c r="G443" t="s">
        <v>394</v>
      </c>
      <c r="H443">
        <v>4</v>
      </c>
      <c r="I443">
        <v>3437</v>
      </c>
      <c r="J443">
        <v>4</v>
      </c>
      <c r="K443" t="s">
        <v>36</v>
      </c>
      <c r="L443">
        <v>4</v>
      </c>
      <c r="M443">
        <v>3</v>
      </c>
      <c r="N443">
        <v>4</v>
      </c>
      <c r="O443">
        <v>3</v>
      </c>
      <c r="P443" t="s">
        <v>36</v>
      </c>
    </row>
    <row r="444" spans="1:16" x14ac:dyDescent="0.25">
      <c r="A444" t="s">
        <v>815</v>
      </c>
      <c r="B444">
        <v>20</v>
      </c>
      <c r="C444" t="s">
        <v>26</v>
      </c>
      <c r="D444" t="s">
        <v>19</v>
      </c>
      <c r="E444" t="s">
        <v>110</v>
      </c>
      <c r="F444" t="s">
        <v>111</v>
      </c>
      <c r="G444" t="s">
        <v>81</v>
      </c>
      <c r="H444">
        <v>1</v>
      </c>
      <c r="I444">
        <v>4536</v>
      </c>
      <c r="J444">
        <v>14</v>
      </c>
      <c r="K444" t="s">
        <v>24</v>
      </c>
      <c r="L444">
        <v>1</v>
      </c>
      <c r="M444">
        <v>2</v>
      </c>
      <c r="N444">
        <v>3</v>
      </c>
      <c r="O444">
        <v>5</v>
      </c>
      <c r="P444" t="s">
        <v>24</v>
      </c>
    </row>
    <row r="445" spans="1:16" x14ac:dyDescent="0.25">
      <c r="A445" t="s">
        <v>816</v>
      </c>
      <c r="B445">
        <v>34</v>
      </c>
      <c r="C445" t="s">
        <v>26</v>
      </c>
      <c r="D445" t="s">
        <v>33</v>
      </c>
      <c r="E445" t="s">
        <v>28</v>
      </c>
      <c r="F445" t="s">
        <v>64</v>
      </c>
      <c r="G445" t="s">
        <v>817</v>
      </c>
      <c r="H445">
        <v>1</v>
      </c>
      <c r="I445">
        <v>3887</v>
      </c>
      <c r="J445">
        <v>3</v>
      </c>
      <c r="K445" t="s">
        <v>24</v>
      </c>
      <c r="L445">
        <v>2</v>
      </c>
      <c r="M445">
        <v>1</v>
      </c>
      <c r="N445">
        <v>3</v>
      </c>
      <c r="O445">
        <v>3</v>
      </c>
      <c r="P445" t="s">
        <v>24</v>
      </c>
    </row>
    <row r="446" spans="1:16" x14ac:dyDescent="0.25">
      <c r="A446" t="s">
        <v>1183</v>
      </c>
      <c r="B446">
        <v>35</v>
      </c>
      <c r="C446" t="s">
        <v>18</v>
      </c>
      <c r="D446" t="s">
        <v>19</v>
      </c>
      <c r="E446" t="s">
        <v>28</v>
      </c>
      <c r="F446" t="s">
        <v>34</v>
      </c>
      <c r="G446" t="s">
        <v>1184</v>
      </c>
      <c r="H446">
        <v>1</v>
      </c>
      <c r="I446">
        <v>3219</v>
      </c>
      <c r="J446">
        <v>6</v>
      </c>
      <c r="K446" t="s">
        <v>36</v>
      </c>
      <c r="M446">
        <v>3</v>
      </c>
      <c r="N446">
        <v>4</v>
      </c>
      <c r="O446">
        <v>5</v>
      </c>
      <c r="P446" t="s">
        <v>36</v>
      </c>
    </row>
    <row r="447" spans="1:16" x14ac:dyDescent="0.25">
      <c r="A447" t="s">
        <v>818</v>
      </c>
      <c r="B447">
        <v>21</v>
      </c>
      <c r="C447" t="s">
        <v>18</v>
      </c>
      <c r="D447" t="s">
        <v>33</v>
      </c>
      <c r="E447" t="s">
        <v>20</v>
      </c>
      <c r="F447" t="s">
        <v>40</v>
      </c>
      <c r="G447" t="s">
        <v>819</v>
      </c>
      <c r="H447">
        <v>1</v>
      </c>
      <c r="I447">
        <v>4326</v>
      </c>
      <c r="J447">
        <v>7</v>
      </c>
      <c r="K447" t="s">
        <v>24</v>
      </c>
      <c r="L447">
        <v>2</v>
      </c>
      <c r="M447">
        <v>1</v>
      </c>
      <c r="N447">
        <v>3</v>
      </c>
      <c r="O447">
        <v>4</v>
      </c>
      <c r="P447" t="s">
        <v>36</v>
      </c>
    </row>
    <row r="448" spans="1:16" x14ac:dyDescent="0.25">
      <c r="A448" t="s">
        <v>1185</v>
      </c>
      <c r="B448">
        <v>37</v>
      </c>
      <c r="C448" t="s">
        <v>26</v>
      </c>
      <c r="D448" t="s">
        <v>19</v>
      </c>
      <c r="E448" t="s">
        <v>28</v>
      </c>
      <c r="F448" t="s">
        <v>29</v>
      </c>
      <c r="G448" t="s">
        <v>1186</v>
      </c>
      <c r="H448">
        <v>1</v>
      </c>
      <c r="I448">
        <v>10403</v>
      </c>
      <c r="J448">
        <v>2</v>
      </c>
      <c r="K448" t="s">
        <v>24</v>
      </c>
      <c r="M448">
        <v>1</v>
      </c>
      <c r="N448">
        <v>3</v>
      </c>
      <c r="O448">
        <v>1</v>
      </c>
      <c r="P448" t="s">
        <v>24</v>
      </c>
    </row>
    <row r="449" spans="1:16" x14ac:dyDescent="0.25">
      <c r="A449" t="s">
        <v>820</v>
      </c>
      <c r="B449">
        <v>39</v>
      </c>
      <c r="C449" t="s">
        <v>26</v>
      </c>
      <c r="D449" t="s">
        <v>33</v>
      </c>
      <c r="E449" t="s">
        <v>28</v>
      </c>
      <c r="F449" t="s">
        <v>64</v>
      </c>
      <c r="G449" t="s">
        <v>821</v>
      </c>
      <c r="H449">
        <v>5</v>
      </c>
      <c r="I449">
        <v>6510</v>
      </c>
      <c r="J449">
        <v>2</v>
      </c>
      <c r="K449" t="s">
        <v>36</v>
      </c>
      <c r="L449">
        <v>4</v>
      </c>
      <c r="M449">
        <v>3</v>
      </c>
      <c r="N449">
        <v>4</v>
      </c>
      <c r="O449">
        <v>4</v>
      </c>
      <c r="P449" t="s">
        <v>24</v>
      </c>
    </row>
    <row r="450" spans="1:16" x14ac:dyDescent="0.25">
      <c r="A450" t="s">
        <v>822</v>
      </c>
      <c r="B450">
        <v>34</v>
      </c>
      <c r="C450" t="s">
        <v>18</v>
      </c>
      <c r="D450" t="s">
        <v>19</v>
      </c>
      <c r="E450" t="s">
        <v>1123</v>
      </c>
      <c r="F450" t="s">
        <v>44</v>
      </c>
      <c r="G450" t="s">
        <v>823</v>
      </c>
      <c r="H450">
        <v>6</v>
      </c>
      <c r="I450">
        <v>4318</v>
      </c>
      <c r="J450">
        <v>6</v>
      </c>
      <c r="K450" t="s">
        <v>24</v>
      </c>
      <c r="L450">
        <v>3</v>
      </c>
      <c r="M450">
        <v>3</v>
      </c>
      <c r="N450">
        <v>3</v>
      </c>
      <c r="O450">
        <v>3</v>
      </c>
      <c r="P450" t="s">
        <v>24</v>
      </c>
    </row>
    <row r="451" spans="1:16" x14ac:dyDescent="0.25">
      <c r="A451" t="s">
        <v>824</v>
      </c>
      <c r="B451">
        <v>39</v>
      </c>
      <c r="C451" t="s">
        <v>26</v>
      </c>
      <c r="D451" t="s">
        <v>19</v>
      </c>
      <c r="E451" t="s">
        <v>28</v>
      </c>
      <c r="F451" t="s">
        <v>34</v>
      </c>
      <c r="G451" t="s">
        <v>825</v>
      </c>
      <c r="H451">
        <v>0</v>
      </c>
      <c r="I451">
        <v>3183</v>
      </c>
      <c r="J451">
        <v>2</v>
      </c>
      <c r="K451" t="s">
        <v>36</v>
      </c>
      <c r="L451">
        <v>2</v>
      </c>
      <c r="M451">
        <v>1</v>
      </c>
      <c r="N451">
        <v>3</v>
      </c>
      <c r="O451">
        <v>1</v>
      </c>
      <c r="P451" t="s">
        <v>36</v>
      </c>
    </row>
    <row r="452" spans="1:16" x14ac:dyDescent="0.25">
      <c r="A452" t="s">
        <v>826</v>
      </c>
      <c r="B452">
        <v>31</v>
      </c>
      <c r="C452" t="s">
        <v>18</v>
      </c>
      <c r="D452" t="s">
        <v>19</v>
      </c>
      <c r="E452" t="s">
        <v>20</v>
      </c>
      <c r="F452" t="s">
        <v>21</v>
      </c>
      <c r="G452" t="s">
        <v>827</v>
      </c>
      <c r="H452">
        <v>9</v>
      </c>
      <c r="I452">
        <v>14662</v>
      </c>
      <c r="J452">
        <v>7</v>
      </c>
      <c r="K452" t="s">
        <v>36</v>
      </c>
      <c r="L452">
        <v>3</v>
      </c>
      <c r="M452">
        <v>3</v>
      </c>
      <c r="N452">
        <v>3</v>
      </c>
      <c r="O452">
        <v>5</v>
      </c>
      <c r="P452" t="s">
        <v>24</v>
      </c>
    </row>
    <row r="453" spans="1:16" x14ac:dyDescent="0.25">
      <c r="A453" t="s">
        <v>828</v>
      </c>
      <c r="B453">
        <v>29</v>
      </c>
      <c r="C453" t="s">
        <v>18</v>
      </c>
      <c r="D453" t="s">
        <v>19</v>
      </c>
      <c r="E453" t="s">
        <v>28</v>
      </c>
      <c r="F453" t="s">
        <v>34</v>
      </c>
      <c r="G453" t="s">
        <v>561</v>
      </c>
      <c r="H453">
        <v>0</v>
      </c>
      <c r="I453">
        <v>3232</v>
      </c>
      <c r="J453">
        <v>2</v>
      </c>
      <c r="K453" t="s">
        <v>24</v>
      </c>
      <c r="L453">
        <v>2</v>
      </c>
      <c r="M453">
        <v>4</v>
      </c>
      <c r="N453">
        <v>3</v>
      </c>
      <c r="O453">
        <v>1</v>
      </c>
      <c r="P453" t="s">
        <v>24</v>
      </c>
    </row>
    <row r="454" spans="1:16" x14ac:dyDescent="0.25">
      <c r="A454" t="s">
        <v>829</v>
      </c>
      <c r="B454">
        <v>47</v>
      </c>
      <c r="C454" t="s">
        <v>26</v>
      </c>
      <c r="D454" t="s">
        <v>19</v>
      </c>
      <c r="E454" t="s">
        <v>28</v>
      </c>
      <c r="F454" t="s">
        <v>34</v>
      </c>
      <c r="G454" t="s">
        <v>830</v>
      </c>
      <c r="H454">
        <v>6</v>
      </c>
      <c r="I454">
        <v>3050</v>
      </c>
      <c r="J454">
        <v>20</v>
      </c>
      <c r="K454" t="s">
        <v>36</v>
      </c>
      <c r="L454">
        <v>4</v>
      </c>
      <c r="M454">
        <v>4</v>
      </c>
      <c r="N454">
        <v>3</v>
      </c>
      <c r="O454">
        <v>2</v>
      </c>
      <c r="P454" t="s">
        <v>24</v>
      </c>
    </row>
    <row r="455" spans="1:16" x14ac:dyDescent="0.25">
      <c r="A455" t="s">
        <v>831</v>
      </c>
      <c r="B455">
        <v>40</v>
      </c>
      <c r="C455" t="s">
        <v>18</v>
      </c>
      <c r="D455" t="s">
        <v>33</v>
      </c>
      <c r="E455" t="s">
        <v>28</v>
      </c>
      <c r="F455" t="s">
        <v>29</v>
      </c>
      <c r="G455" t="s">
        <v>832</v>
      </c>
      <c r="H455">
        <v>12</v>
      </c>
      <c r="I455">
        <v>16584</v>
      </c>
      <c r="J455">
        <v>3</v>
      </c>
      <c r="K455" t="s">
        <v>24</v>
      </c>
      <c r="L455">
        <v>3</v>
      </c>
      <c r="M455">
        <v>3</v>
      </c>
      <c r="N455">
        <v>3</v>
      </c>
      <c r="O455">
        <v>2</v>
      </c>
      <c r="P455" t="s">
        <v>24</v>
      </c>
    </row>
    <row r="456" spans="1:16" x14ac:dyDescent="0.25">
      <c r="A456" t="s">
        <v>833</v>
      </c>
      <c r="B456">
        <v>41</v>
      </c>
      <c r="C456" t="s">
        <v>26</v>
      </c>
      <c r="D456" t="s">
        <v>19</v>
      </c>
      <c r="E456" t="s">
        <v>1140</v>
      </c>
      <c r="F456" t="s">
        <v>59</v>
      </c>
      <c r="G456" t="s">
        <v>834</v>
      </c>
      <c r="H456">
        <v>0</v>
      </c>
      <c r="I456">
        <v>7570</v>
      </c>
      <c r="J456">
        <v>1</v>
      </c>
      <c r="K456" t="s">
        <v>24</v>
      </c>
      <c r="L456">
        <v>4</v>
      </c>
      <c r="M456">
        <v>4</v>
      </c>
      <c r="N456">
        <v>3</v>
      </c>
      <c r="O456">
        <v>5</v>
      </c>
      <c r="P456" t="s">
        <v>24</v>
      </c>
    </row>
    <row r="457" spans="1:16" x14ac:dyDescent="0.25">
      <c r="A457" t="s">
        <v>835</v>
      </c>
      <c r="B457">
        <v>38</v>
      </c>
      <c r="C457" t="s">
        <v>26</v>
      </c>
      <c r="D457" t="s">
        <v>19</v>
      </c>
      <c r="E457" t="s">
        <v>28</v>
      </c>
      <c r="F457" t="s">
        <v>64</v>
      </c>
      <c r="G457" t="s">
        <v>836</v>
      </c>
      <c r="H457">
        <v>7</v>
      </c>
      <c r="I457">
        <v>5954</v>
      </c>
      <c r="J457">
        <v>14</v>
      </c>
      <c r="K457" t="s">
        <v>36</v>
      </c>
      <c r="L457">
        <v>3</v>
      </c>
      <c r="M457">
        <v>4</v>
      </c>
      <c r="N457">
        <v>4</v>
      </c>
      <c r="O457">
        <v>0</v>
      </c>
      <c r="P457" t="s">
        <v>24</v>
      </c>
    </row>
    <row r="458" spans="1:16" x14ac:dyDescent="0.25">
      <c r="A458" t="s">
        <v>837</v>
      </c>
      <c r="B458">
        <v>40</v>
      </c>
      <c r="C458" t="s">
        <v>26</v>
      </c>
      <c r="D458" t="s">
        <v>33</v>
      </c>
      <c r="E458" t="s">
        <v>20</v>
      </c>
      <c r="F458" t="s">
        <v>40</v>
      </c>
      <c r="G458" t="s">
        <v>838</v>
      </c>
      <c r="H458">
        <v>3</v>
      </c>
      <c r="I458">
        <v>4636</v>
      </c>
      <c r="J458">
        <v>13</v>
      </c>
      <c r="K458" t="s">
        <v>24</v>
      </c>
      <c r="L458">
        <v>4</v>
      </c>
      <c r="M458">
        <v>2</v>
      </c>
      <c r="N458">
        <v>3</v>
      </c>
      <c r="O458">
        <v>3</v>
      </c>
      <c r="P458" t="s">
        <v>36</v>
      </c>
    </row>
    <row r="459" spans="1:16" x14ac:dyDescent="0.25">
      <c r="A459" t="s">
        <v>839</v>
      </c>
      <c r="B459">
        <v>43</v>
      </c>
      <c r="C459" t="s">
        <v>26</v>
      </c>
      <c r="D459" t="s">
        <v>19</v>
      </c>
      <c r="E459" t="s">
        <v>20</v>
      </c>
      <c r="F459" t="s">
        <v>21</v>
      </c>
      <c r="G459" t="s">
        <v>840</v>
      </c>
      <c r="H459">
        <v>3</v>
      </c>
      <c r="I459">
        <v>12264</v>
      </c>
      <c r="J459">
        <v>3</v>
      </c>
      <c r="K459" t="s">
        <v>36</v>
      </c>
      <c r="L459">
        <v>4</v>
      </c>
      <c r="M459">
        <v>3</v>
      </c>
      <c r="N459">
        <v>3</v>
      </c>
      <c r="O459">
        <v>0</v>
      </c>
      <c r="P459" t="s">
        <v>24</v>
      </c>
    </row>
    <row r="460" spans="1:16" x14ac:dyDescent="0.25">
      <c r="A460" t="s">
        <v>1187</v>
      </c>
      <c r="B460">
        <v>27</v>
      </c>
      <c r="C460" t="s">
        <v>26</v>
      </c>
      <c r="D460" t="s">
        <v>33</v>
      </c>
      <c r="E460" t="s">
        <v>28</v>
      </c>
      <c r="F460" t="s">
        <v>29</v>
      </c>
      <c r="G460" t="s">
        <v>1127</v>
      </c>
      <c r="H460">
        <v>5</v>
      </c>
      <c r="I460">
        <v>13207</v>
      </c>
      <c r="J460">
        <v>9</v>
      </c>
      <c r="K460" t="s">
        <v>24</v>
      </c>
      <c r="L460">
        <v>3</v>
      </c>
      <c r="M460">
        <v>4</v>
      </c>
      <c r="N460">
        <v>4</v>
      </c>
      <c r="O460">
        <v>0</v>
      </c>
      <c r="P460" t="s">
        <v>36</v>
      </c>
    </row>
    <row r="461" spans="1:16" x14ac:dyDescent="0.25">
      <c r="A461" t="s">
        <v>841</v>
      </c>
      <c r="B461">
        <v>51</v>
      </c>
      <c r="C461" t="s">
        <v>26</v>
      </c>
      <c r="D461" t="s">
        <v>33</v>
      </c>
      <c r="E461" t="s">
        <v>28</v>
      </c>
      <c r="F461" t="s">
        <v>64</v>
      </c>
      <c r="G461" t="s">
        <v>842</v>
      </c>
      <c r="H461">
        <v>6</v>
      </c>
      <c r="I461">
        <v>5365</v>
      </c>
      <c r="J461">
        <v>5</v>
      </c>
      <c r="K461" t="s">
        <v>36</v>
      </c>
      <c r="L461">
        <v>2</v>
      </c>
      <c r="M461">
        <v>1</v>
      </c>
      <c r="N461">
        <v>3</v>
      </c>
      <c r="O461">
        <v>0</v>
      </c>
      <c r="P461" t="s">
        <v>36</v>
      </c>
    </row>
    <row r="462" spans="1:16" x14ac:dyDescent="0.25">
      <c r="A462" t="s">
        <v>843</v>
      </c>
      <c r="B462">
        <v>28</v>
      </c>
      <c r="C462" t="s">
        <v>26</v>
      </c>
      <c r="D462" t="s">
        <v>27</v>
      </c>
      <c r="E462" t="s">
        <v>28</v>
      </c>
      <c r="F462" t="s">
        <v>29</v>
      </c>
      <c r="G462" t="s">
        <v>844</v>
      </c>
      <c r="H462">
        <v>1</v>
      </c>
      <c r="I462">
        <v>9853</v>
      </c>
      <c r="J462">
        <v>20</v>
      </c>
      <c r="K462" t="s">
        <v>24</v>
      </c>
      <c r="L462">
        <v>3</v>
      </c>
      <c r="M462">
        <v>3</v>
      </c>
      <c r="N462">
        <v>3</v>
      </c>
      <c r="O462">
        <v>0</v>
      </c>
      <c r="P462" t="s">
        <v>24</v>
      </c>
    </row>
    <row r="463" spans="1:16" x14ac:dyDescent="0.25">
      <c r="A463" t="s">
        <v>845</v>
      </c>
      <c r="B463">
        <v>37</v>
      </c>
      <c r="C463" t="s">
        <v>18</v>
      </c>
      <c r="D463" t="s">
        <v>19</v>
      </c>
      <c r="E463" t="s">
        <v>28</v>
      </c>
      <c r="F463" t="s">
        <v>34</v>
      </c>
      <c r="G463" t="s">
        <v>846</v>
      </c>
      <c r="H463">
        <v>2</v>
      </c>
      <c r="I463">
        <v>3253</v>
      </c>
      <c r="J463">
        <v>9</v>
      </c>
      <c r="K463" t="s">
        <v>24</v>
      </c>
      <c r="L463">
        <v>2</v>
      </c>
      <c r="M463">
        <v>3</v>
      </c>
      <c r="N463">
        <v>3</v>
      </c>
      <c r="O463">
        <v>4</v>
      </c>
      <c r="P463" t="s">
        <v>24</v>
      </c>
    </row>
    <row r="464" spans="1:16" x14ac:dyDescent="0.25">
      <c r="A464" t="s">
        <v>847</v>
      </c>
      <c r="B464">
        <v>40</v>
      </c>
      <c r="C464" t="s">
        <v>26</v>
      </c>
      <c r="D464" t="s">
        <v>33</v>
      </c>
      <c r="E464" t="s">
        <v>20</v>
      </c>
      <c r="F464" t="s">
        <v>40</v>
      </c>
      <c r="G464" t="s">
        <v>310</v>
      </c>
      <c r="H464">
        <v>2</v>
      </c>
      <c r="I464">
        <v>3629</v>
      </c>
      <c r="J464">
        <v>3</v>
      </c>
      <c r="K464" t="s">
        <v>24</v>
      </c>
      <c r="L464">
        <v>2</v>
      </c>
      <c r="M464">
        <v>3</v>
      </c>
      <c r="N464">
        <v>3</v>
      </c>
      <c r="O464">
        <v>0</v>
      </c>
      <c r="P464" t="s">
        <v>36</v>
      </c>
    </row>
    <row r="465" spans="1:16" x14ac:dyDescent="0.25">
      <c r="A465" t="s">
        <v>848</v>
      </c>
      <c r="B465">
        <v>41</v>
      </c>
      <c r="C465" t="s">
        <v>26</v>
      </c>
      <c r="D465" t="s">
        <v>27</v>
      </c>
      <c r="E465" t="s">
        <v>28</v>
      </c>
      <c r="F465" t="s">
        <v>59</v>
      </c>
      <c r="G465" t="s">
        <v>849</v>
      </c>
      <c r="H465">
        <v>0</v>
      </c>
      <c r="I465">
        <v>6370</v>
      </c>
      <c r="J465">
        <v>1</v>
      </c>
      <c r="K465" t="s">
        <v>36</v>
      </c>
      <c r="L465">
        <v>3</v>
      </c>
      <c r="M465">
        <v>3</v>
      </c>
      <c r="N465">
        <v>3</v>
      </c>
      <c r="O465">
        <v>0</v>
      </c>
      <c r="P465" t="s">
        <v>36</v>
      </c>
    </row>
    <row r="466" spans="1:16" x14ac:dyDescent="0.25">
      <c r="A466" t="s">
        <v>850</v>
      </c>
      <c r="B466">
        <v>37</v>
      </c>
      <c r="C466" t="s">
        <v>18</v>
      </c>
      <c r="D466" t="s">
        <v>27</v>
      </c>
      <c r="E466" t="s">
        <v>28</v>
      </c>
      <c r="F466" t="s">
        <v>34</v>
      </c>
      <c r="G466" t="s">
        <v>255</v>
      </c>
      <c r="H466">
        <v>2</v>
      </c>
      <c r="I466">
        <v>3067</v>
      </c>
      <c r="J466">
        <v>6</v>
      </c>
      <c r="K466" t="s">
        <v>24</v>
      </c>
      <c r="L466">
        <v>1</v>
      </c>
      <c r="M466">
        <v>2</v>
      </c>
      <c r="N466">
        <v>3</v>
      </c>
      <c r="O466">
        <v>4</v>
      </c>
      <c r="P466" t="s">
        <v>24</v>
      </c>
    </row>
    <row r="467" spans="1:16" x14ac:dyDescent="0.25">
      <c r="A467" t="s">
        <v>851</v>
      </c>
      <c r="B467">
        <v>20</v>
      </c>
      <c r="C467" t="s">
        <v>26</v>
      </c>
      <c r="D467" t="s">
        <v>33</v>
      </c>
      <c r="E467" t="s">
        <v>110</v>
      </c>
      <c r="F467" t="s">
        <v>128</v>
      </c>
      <c r="G467" t="s">
        <v>852</v>
      </c>
      <c r="H467">
        <v>7</v>
      </c>
      <c r="I467">
        <v>12463</v>
      </c>
      <c r="J467">
        <v>3</v>
      </c>
      <c r="K467" t="s">
        <v>36</v>
      </c>
      <c r="L467">
        <v>3</v>
      </c>
      <c r="M467">
        <v>3</v>
      </c>
      <c r="N467">
        <v>3</v>
      </c>
      <c r="O467">
        <v>2</v>
      </c>
      <c r="P467" t="s">
        <v>24</v>
      </c>
    </row>
    <row r="468" spans="1:16" x14ac:dyDescent="0.25">
      <c r="A468" t="s">
        <v>853</v>
      </c>
      <c r="B468">
        <v>20</v>
      </c>
      <c r="C468" t="s">
        <v>26</v>
      </c>
      <c r="D468" t="s">
        <v>19</v>
      </c>
      <c r="E468" t="s">
        <v>28</v>
      </c>
      <c r="F468" t="s">
        <v>64</v>
      </c>
      <c r="G468" t="s">
        <v>854</v>
      </c>
      <c r="H468">
        <v>7</v>
      </c>
      <c r="I468">
        <v>6046</v>
      </c>
      <c r="J468">
        <v>8</v>
      </c>
      <c r="K468" t="s">
        <v>36</v>
      </c>
      <c r="L468">
        <v>4</v>
      </c>
      <c r="M468">
        <v>3</v>
      </c>
      <c r="N468">
        <v>3</v>
      </c>
      <c r="O468">
        <v>2</v>
      </c>
      <c r="P468" t="s">
        <v>24</v>
      </c>
    </row>
    <row r="469" spans="1:16" x14ac:dyDescent="0.25">
      <c r="A469" t="s">
        <v>855</v>
      </c>
      <c r="B469">
        <v>31</v>
      </c>
      <c r="C469" t="s">
        <v>18</v>
      </c>
      <c r="D469" t="s">
        <v>33</v>
      </c>
      <c r="E469" t="s">
        <v>28</v>
      </c>
      <c r="F469" t="s">
        <v>34</v>
      </c>
      <c r="G469" t="s">
        <v>856</v>
      </c>
      <c r="H469">
        <v>10</v>
      </c>
      <c r="I469">
        <v>3822</v>
      </c>
      <c r="J469">
        <v>3</v>
      </c>
      <c r="K469" t="s">
        <v>24</v>
      </c>
      <c r="L469">
        <v>2</v>
      </c>
      <c r="M469">
        <v>4</v>
      </c>
      <c r="N469">
        <v>3</v>
      </c>
      <c r="O469">
        <v>5</v>
      </c>
      <c r="P469" t="s">
        <v>24</v>
      </c>
    </row>
    <row r="470" spans="1:16" x14ac:dyDescent="0.25">
      <c r="A470" t="s">
        <v>857</v>
      </c>
      <c r="B470">
        <v>49</v>
      </c>
      <c r="C470" t="s">
        <v>26</v>
      </c>
      <c r="D470" t="s">
        <v>33</v>
      </c>
      <c r="E470" t="s">
        <v>20</v>
      </c>
      <c r="F470" t="s">
        <v>40</v>
      </c>
      <c r="G470" t="s">
        <v>858</v>
      </c>
      <c r="H470">
        <v>2</v>
      </c>
      <c r="I470">
        <v>4253</v>
      </c>
      <c r="J470">
        <v>2</v>
      </c>
      <c r="K470" t="s">
        <v>24</v>
      </c>
      <c r="L470">
        <v>2</v>
      </c>
      <c r="M470">
        <v>4</v>
      </c>
      <c r="N470">
        <v>3</v>
      </c>
      <c r="O470">
        <v>0</v>
      </c>
      <c r="P470" t="s">
        <v>24</v>
      </c>
    </row>
    <row r="471" spans="1:16" x14ac:dyDescent="0.25">
      <c r="A471" t="s">
        <v>859</v>
      </c>
      <c r="B471">
        <v>40</v>
      </c>
      <c r="C471" t="s">
        <v>18</v>
      </c>
      <c r="D471" t="s">
        <v>19</v>
      </c>
      <c r="E471" t="s">
        <v>20</v>
      </c>
      <c r="F471" t="s">
        <v>44</v>
      </c>
      <c r="G471" t="s">
        <v>860</v>
      </c>
      <c r="H471">
        <v>0</v>
      </c>
      <c r="I471">
        <v>6293</v>
      </c>
      <c r="J471">
        <v>3</v>
      </c>
      <c r="K471" t="s">
        <v>24</v>
      </c>
      <c r="L471">
        <v>2</v>
      </c>
      <c r="M471">
        <v>2</v>
      </c>
      <c r="N471">
        <v>3</v>
      </c>
      <c r="O471">
        <v>4</v>
      </c>
      <c r="P471" t="s">
        <v>24</v>
      </c>
    </row>
    <row r="472" spans="1:16" x14ac:dyDescent="0.25">
      <c r="A472" t="s">
        <v>861</v>
      </c>
      <c r="B472">
        <v>34</v>
      </c>
      <c r="C472" t="s">
        <v>26</v>
      </c>
      <c r="D472" t="s">
        <v>33</v>
      </c>
      <c r="E472" t="s">
        <v>20</v>
      </c>
      <c r="F472" t="s">
        <v>44</v>
      </c>
      <c r="G472" t="s">
        <v>478</v>
      </c>
      <c r="H472">
        <v>0</v>
      </c>
      <c r="I472">
        <v>5951</v>
      </c>
      <c r="J472">
        <v>19</v>
      </c>
      <c r="K472" t="s">
        <v>24</v>
      </c>
      <c r="L472">
        <v>2</v>
      </c>
      <c r="M472">
        <v>3</v>
      </c>
      <c r="N472">
        <v>3</v>
      </c>
      <c r="O472">
        <v>2</v>
      </c>
      <c r="P472" t="s">
        <v>24</v>
      </c>
    </row>
    <row r="473" spans="1:16" x14ac:dyDescent="0.25">
      <c r="A473" t="s">
        <v>862</v>
      </c>
      <c r="B473">
        <v>38</v>
      </c>
      <c r="C473" t="s">
        <v>18</v>
      </c>
      <c r="D473" t="s">
        <v>19</v>
      </c>
      <c r="E473" t="s">
        <v>20</v>
      </c>
      <c r="F473" t="s">
        <v>21</v>
      </c>
      <c r="G473" t="s">
        <v>863</v>
      </c>
      <c r="H473">
        <v>1</v>
      </c>
      <c r="I473">
        <v>13810</v>
      </c>
      <c r="J473">
        <v>3</v>
      </c>
      <c r="K473" t="s">
        <v>24</v>
      </c>
      <c r="L473">
        <v>2</v>
      </c>
      <c r="M473">
        <v>1</v>
      </c>
      <c r="N473">
        <v>3</v>
      </c>
      <c r="O473">
        <v>2</v>
      </c>
      <c r="P473" t="s">
        <v>36</v>
      </c>
    </row>
    <row r="474" spans="1:16" x14ac:dyDescent="0.25">
      <c r="A474" t="s">
        <v>864</v>
      </c>
      <c r="B474">
        <v>31</v>
      </c>
      <c r="C474" t="s">
        <v>18</v>
      </c>
      <c r="D474" t="s">
        <v>33</v>
      </c>
      <c r="E474" t="s">
        <v>20</v>
      </c>
      <c r="F474" t="s">
        <v>40</v>
      </c>
      <c r="G474" t="s">
        <v>865</v>
      </c>
      <c r="H474">
        <v>3</v>
      </c>
      <c r="I474">
        <v>3514</v>
      </c>
      <c r="J474">
        <v>1</v>
      </c>
      <c r="K474" t="s">
        <v>36</v>
      </c>
      <c r="L474">
        <v>4</v>
      </c>
      <c r="M474">
        <v>2</v>
      </c>
      <c r="N474">
        <v>4</v>
      </c>
      <c r="O474">
        <v>4</v>
      </c>
      <c r="P474" t="s">
        <v>24</v>
      </c>
    </row>
    <row r="475" spans="1:16" x14ac:dyDescent="0.25">
      <c r="A475" t="s">
        <v>866</v>
      </c>
      <c r="B475">
        <v>21</v>
      </c>
      <c r="C475" t="s">
        <v>18</v>
      </c>
      <c r="D475" t="s">
        <v>19</v>
      </c>
      <c r="E475" t="s">
        <v>110</v>
      </c>
      <c r="F475" t="s">
        <v>128</v>
      </c>
      <c r="G475" t="s">
        <v>867</v>
      </c>
      <c r="H475">
        <v>6</v>
      </c>
      <c r="I475">
        <v>12512</v>
      </c>
      <c r="J475">
        <v>5</v>
      </c>
      <c r="K475" t="s">
        <v>24</v>
      </c>
      <c r="L475">
        <v>4</v>
      </c>
      <c r="M475">
        <v>2</v>
      </c>
      <c r="N475">
        <v>3</v>
      </c>
      <c r="O475">
        <v>2</v>
      </c>
      <c r="P475" t="s">
        <v>24</v>
      </c>
    </row>
    <row r="476" spans="1:16" x14ac:dyDescent="0.25">
      <c r="A476" t="s">
        <v>868</v>
      </c>
      <c r="B476">
        <v>41</v>
      </c>
      <c r="C476" t="s">
        <v>26</v>
      </c>
      <c r="D476" t="s">
        <v>19</v>
      </c>
      <c r="E476" t="s">
        <v>110</v>
      </c>
      <c r="F476" t="s">
        <v>189</v>
      </c>
      <c r="G476" t="s">
        <v>869</v>
      </c>
      <c r="H476">
        <v>4</v>
      </c>
      <c r="I476">
        <v>5055</v>
      </c>
      <c r="J476">
        <v>10</v>
      </c>
      <c r="K476" t="s">
        <v>24</v>
      </c>
      <c r="L476">
        <v>2</v>
      </c>
      <c r="M476">
        <v>2</v>
      </c>
      <c r="N476">
        <v>3</v>
      </c>
      <c r="O476">
        <v>1</v>
      </c>
      <c r="P476" t="s">
        <v>24</v>
      </c>
    </row>
    <row r="477" spans="1:16" x14ac:dyDescent="0.25">
      <c r="A477" t="s">
        <v>870</v>
      </c>
      <c r="B477">
        <v>41</v>
      </c>
      <c r="C477" t="s">
        <v>26</v>
      </c>
      <c r="D477" t="s">
        <v>33</v>
      </c>
      <c r="E477" t="s">
        <v>20</v>
      </c>
      <c r="F477" t="s">
        <v>40</v>
      </c>
      <c r="G477" t="s">
        <v>871</v>
      </c>
      <c r="H477">
        <v>1</v>
      </c>
      <c r="I477">
        <v>3925</v>
      </c>
      <c r="J477">
        <v>16</v>
      </c>
      <c r="K477" t="s">
        <v>24</v>
      </c>
      <c r="L477">
        <v>3</v>
      </c>
      <c r="M477">
        <v>4</v>
      </c>
      <c r="N477">
        <v>3</v>
      </c>
      <c r="O477">
        <v>1</v>
      </c>
      <c r="P477" t="s">
        <v>24</v>
      </c>
    </row>
    <row r="478" spans="1:16" x14ac:dyDescent="0.25">
      <c r="A478" t="s">
        <v>872</v>
      </c>
      <c r="B478">
        <v>35</v>
      </c>
      <c r="C478" t="s">
        <v>18</v>
      </c>
      <c r="D478" t="s">
        <v>19</v>
      </c>
      <c r="E478" t="s">
        <v>28</v>
      </c>
      <c r="F478" t="s">
        <v>34</v>
      </c>
      <c r="G478" t="s">
        <v>873</v>
      </c>
      <c r="H478">
        <v>8</v>
      </c>
      <c r="I478">
        <v>4068</v>
      </c>
      <c r="J478">
        <v>1</v>
      </c>
      <c r="K478" t="s">
        <v>24</v>
      </c>
      <c r="L478">
        <v>4</v>
      </c>
      <c r="M478">
        <v>4</v>
      </c>
      <c r="N478">
        <v>3</v>
      </c>
      <c r="O478">
        <v>5</v>
      </c>
      <c r="P478" t="s">
        <v>24</v>
      </c>
    </row>
    <row r="479" spans="1:16" x14ac:dyDescent="0.25">
      <c r="A479" t="s">
        <v>874</v>
      </c>
      <c r="B479">
        <v>33</v>
      </c>
      <c r="C479" t="s">
        <v>26</v>
      </c>
      <c r="D479" t="s">
        <v>27</v>
      </c>
      <c r="E479" t="s">
        <v>28</v>
      </c>
      <c r="F479" t="s">
        <v>29</v>
      </c>
      <c r="G479" t="s">
        <v>875</v>
      </c>
      <c r="H479">
        <v>1</v>
      </c>
      <c r="I479">
        <v>12625</v>
      </c>
      <c r="J479">
        <v>1</v>
      </c>
      <c r="K479" t="s">
        <v>36</v>
      </c>
      <c r="L479">
        <v>2</v>
      </c>
      <c r="M479">
        <v>4</v>
      </c>
      <c r="N479">
        <v>3</v>
      </c>
      <c r="O479">
        <v>1</v>
      </c>
      <c r="P479" t="s">
        <v>36</v>
      </c>
    </row>
    <row r="480" spans="1:16" x14ac:dyDescent="0.25">
      <c r="A480" t="s">
        <v>876</v>
      </c>
      <c r="B480">
        <v>28</v>
      </c>
      <c r="C480" t="s">
        <v>18</v>
      </c>
      <c r="D480" t="s">
        <v>19</v>
      </c>
      <c r="E480" t="s">
        <v>110</v>
      </c>
      <c r="F480" t="s">
        <v>111</v>
      </c>
      <c r="G480" t="s">
        <v>877</v>
      </c>
      <c r="H480">
        <v>1</v>
      </c>
      <c r="I480">
        <v>4061</v>
      </c>
      <c r="J480">
        <v>6</v>
      </c>
      <c r="K480" t="s">
        <v>36</v>
      </c>
      <c r="L480">
        <v>4</v>
      </c>
      <c r="M480">
        <v>3</v>
      </c>
      <c r="N480">
        <v>3</v>
      </c>
      <c r="O480">
        <v>3</v>
      </c>
      <c r="P480" t="s">
        <v>36</v>
      </c>
    </row>
    <row r="481" spans="1:16" x14ac:dyDescent="0.25">
      <c r="A481" t="s">
        <v>878</v>
      </c>
      <c r="B481">
        <v>46</v>
      </c>
      <c r="C481" t="s">
        <v>18</v>
      </c>
      <c r="D481" t="s">
        <v>19</v>
      </c>
      <c r="E481" t="s">
        <v>28</v>
      </c>
      <c r="F481" t="s">
        <v>34</v>
      </c>
      <c r="G481" t="s">
        <v>879</v>
      </c>
      <c r="H481">
        <v>3</v>
      </c>
      <c r="I481">
        <v>3521</v>
      </c>
      <c r="J481">
        <v>1</v>
      </c>
      <c r="K481" t="s">
        <v>24</v>
      </c>
      <c r="L481">
        <v>2</v>
      </c>
      <c r="M481">
        <v>3</v>
      </c>
      <c r="N481">
        <v>3</v>
      </c>
      <c r="O481">
        <v>3</v>
      </c>
      <c r="P481" t="s">
        <v>24</v>
      </c>
    </row>
    <row r="482" spans="1:16" x14ac:dyDescent="0.25">
      <c r="A482" t="s">
        <v>880</v>
      </c>
      <c r="B482">
        <v>21</v>
      </c>
      <c r="C482" t="s">
        <v>26</v>
      </c>
      <c r="D482" t="s">
        <v>19</v>
      </c>
      <c r="E482" t="s">
        <v>28</v>
      </c>
      <c r="F482" t="s">
        <v>34</v>
      </c>
      <c r="G482" t="s">
        <v>881</v>
      </c>
      <c r="H482">
        <v>2</v>
      </c>
      <c r="I482">
        <v>3287</v>
      </c>
      <c r="J482">
        <v>3</v>
      </c>
      <c r="K482" t="s">
        <v>24</v>
      </c>
      <c r="L482">
        <v>4</v>
      </c>
      <c r="M482">
        <v>3</v>
      </c>
      <c r="N482">
        <v>4</v>
      </c>
      <c r="O482">
        <v>0</v>
      </c>
      <c r="P482" t="s">
        <v>36</v>
      </c>
    </row>
    <row r="483" spans="1:16" x14ac:dyDescent="0.25">
      <c r="A483" t="s">
        <v>882</v>
      </c>
      <c r="B483">
        <v>44</v>
      </c>
      <c r="C483" t="s">
        <v>26</v>
      </c>
      <c r="D483" t="s">
        <v>27</v>
      </c>
      <c r="E483" t="s">
        <v>28</v>
      </c>
      <c r="F483" t="s">
        <v>29</v>
      </c>
      <c r="G483" t="s">
        <v>883</v>
      </c>
      <c r="H483">
        <v>1</v>
      </c>
      <c r="I483">
        <v>12726</v>
      </c>
      <c r="J483">
        <v>12</v>
      </c>
      <c r="K483" t="s">
        <v>24</v>
      </c>
      <c r="L483">
        <v>2</v>
      </c>
      <c r="M483">
        <v>3</v>
      </c>
      <c r="N483">
        <v>4</v>
      </c>
      <c r="O483">
        <v>2</v>
      </c>
      <c r="P483" t="s">
        <v>24</v>
      </c>
    </row>
    <row r="484" spans="1:16" x14ac:dyDescent="0.25">
      <c r="A484" t="s">
        <v>884</v>
      </c>
      <c r="B484">
        <v>37</v>
      </c>
      <c r="C484" t="s">
        <v>18</v>
      </c>
      <c r="D484" t="s">
        <v>33</v>
      </c>
      <c r="E484" t="s">
        <v>110</v>
      </c>
      <c r="F484" t="s">
        <v>128</v>
      </c>
      <c r="G484" t="s">
        <v>885</v>
      </c>
      <c r="H484">
        <v>1</v>
      </c>
      <c r="I484">
        <v>9554</v>
      </c>
      <c r="J484">
        <v>16</v>
      </c>
      <c r="K484" t="s">
        <v>24</v>
      </c>
      <c r="L484">
        <v>2</v>
      </c>
      <c r="M484">
        <v>2</v>
      </c>
      <c r="N484">
        <v>3</v>
      </c>
      <c r="O484">
        <v>1</v>
      </c>
      <c r="P484" t="s">
        <v>24</v>
      </c>
    </row>
    <row r="485" spans="1:16" x14ac:dyDescent="0.25">
      <c r="A485" t="s">
        <v>886</v>
      </c>
      <c r="B485">
        <v>36</v>
      </c>
      <c r="C485" t="s">
        <v>18</v>
      </c>
      <c r="D485" t="s">
        <v>19</v>
      </c>
      <c r="E485" t="s">
        <v>20</v>
      </c>
      <c r="F485" t="s">
        <v>40</v>
      </c>
      <c r="G485" t="s">
        <v>887</v>
      </c>
      <c r="H485">
        <v>9</v>
      </c>
      <c r="I485">
        <v>4006</v>
      </c>
      <c r="J485">
        <v>30</v>
      </c>
      <c r="K485" t="s">
        <v>36</v>
      </c>
      <c r="L485">
        <v>4</v>
      </c>
      <c r="M485">
        <v>1</v>
      </c>
      <c r="N485">
        <v>3</v>
      </c>
      <c r="O485">
        <v>3</v>
      </c>
      <c r="P485" t="s">
        <v>24</v>
      </c>
    </row>
    <row r="486" spans="1:16" x14ac:dyDescent="0.25">
      <c r="A486" t="s">
        <v>888</v>
      </c>
      <c r="B486">
        <v>30</v>
      </c>
      <c r="C486" t="s">
        <v>26</v>
      </c>
      <c r="D486" t="s">
        <v>19</v>
      </c>
      <c r="E486" t="s">
        <v>20</v>
      </c>
      <c r="F486" t="s">
        <v>21</v>
      </c>
      <c r="G486" t="s">
        <v>889</v>
      </c>
      <c r="H486">
        <v>11</v>
      </c>
      <c r="I486">
        <v>12211</v>
      </c>
      <c r="J486">
        <v>1</v>
      </c>
      <c r="K486" t="s">
        <v>24</v>
      </c>
      <c r="L486">
        <v>2</v>
      </c>
      <c r="M486">
        <v>2</v>
      </c>
      <c r="N486">
        <v>3</v>
      </c>
      <c r="O486">
        <v>5</v>
      </c>
      <c r="P486" t="s">
        <v>24</v>
      </c>
    </row>
    <row r="487" spans="1:16" x14ac:dyDescent="0.25">
      <c r="A487" t="s">
        <v>890</v>
      </c>
      <c r="B487">
        <v>27</v>
      </c>
      <c r="C487" t="s">
        <v>26</v>
      </c>
      <c r="D487" t="s">
        <v>33</v>
      </c>
      <c r="E487" t="s">
        <v>28</v>
      </c>
      <c r="F487" t="s">
        <v>29</v>
      </c>
      <c r="G487" t="s">
        <v>891</v>
      </c>
      <c r="H487">
        <v>2</v>
      </c>
      <c r="I487">
        <v>12118</v>
      </c>
      <c r="J487">
        <v>7</v>
      </c>
      <c r="K487" t="s">
        <v>24</v>
      </c>
      <c r="L487">
        <v>3</v>
      </c>
      <c r="M487">
        <v>4</v>
      </c>
      <c r="N487">
        <v>3</v>
      </c>
      <c r="O487">
        <v>5</v>
      </c>
      <c r="P487" t="s">
        <v>36</v>
      </c>
    </row>
    <row r="488" spans="1:16" x14ac:dyDescent="0.25">
      <c r="A488" t="s">
        <v>892</v>
      </c>
      <c r="B488">
        <v>23</v>
      </c>
      <c r="C488" t="s">
        <v>18</v>
      </c>
      <c r="D488" t="s">
        <v>33</v>
      </c>
      <c r="E488" t="s">
        <v>28</v>
      </c>
      <c r="F488" t="s">
        <v>64</v>
      </c>
      <c r="G488" t="s">
        <v>893</v>
      </c>
      <c r="H488">
        <v>2</v>
      </c>
      <c r="I488">
        <v>5273</v>
      </c>
      <c r="J488">
        <v>1</v>
      </c>
      <c r="K488" t="s">
        <v>36</v>
      </c>
      <c r="L488">
        <v>2</v>
      </c>
      <c r="M488">
        <v>3</v>
      </c>
      <c r="N488">
        <v>3</v>
      </c>
      <c r="O488">
        <v>0</v>
      </c>
      <c r="P488" t="s">
        <v>36</v>
      </c>
    </row>
    <row r="489" spans="1:16" x14ac:dyDescent="0.25">
      <c r="A489" t="s">
        <v>894</v>
      </c>
      <c r="B489">
        <v>37</v>
      </c>
      <c r="C489" t="s">
        <v>18</v>
      </c>
      <c r="D489" t="s">
        <v>27</v>
      </c>
      <c r="E489" t="s">
        <v>20</v>
      </c>
      <c r="F489" t="s">
        <v>21</v>
      </c>
      <c r="G489" t="s">
        <v>895</v>
      </c>
      <c r="H489">
        <v>1</v>
      </c>
      <c r="I489">
        <v>8919</v>
      </c>
      <c r="J489">
        <v>24</v>
      </c>
      <c r="K489" t="s">
        <v>24</v>
      </c>
      <c r="L489">
        <v>4</v>
      </c>
      <c r="M489">
        <v>3</v>
      </c>
      <c r="N489">
        <v>3</v>
      </c>
      <c r="O489">
        <v>3</v>
      </c>
      <c r="P489" t="s">
        <v>36</v>
      </c>
    </row>
    <row r="490" spans="1:16" x14ac:dyDescent="0.25">
      <c r="A490" t="s">
        <v>896</v>
      </c>
      <c r="B490">
        <v>30</v>
      </c>
      <c r="C490" t="s">
        <v>26</v>
      </c>
      <c r="D490" t="s">
        <v>19</v>
      </c>
      <c r="E490" t="s">
        <v>20</v>
      </c>
      <c r="F490" t="s">
        <v>40</v>
      </c>
      <c r="G490" t="s">
        <v>897</v>
      </c>
      <c r="H490">
        <v>1</v>
      </c>
      <c r="I490">
        <v>3540</v>
      </c>
      <c r="J490">
        <v>14</v>
      </c>
      <c r="K490" t="s">
        <v>24</v>
      </c>
      <c r="L490">
        <v>3</v>
      </c>
      <c r="M490">
        <v>3</v>
      </c>
      <c r="N490">
        <v>3</v>
      </c>
      <c r="O490">
        <v>1</v>
      </c>
      <c r="P490" t="s">
        <v>24</v>
      </c>
    </row>
    <row r="491" spans="1:16" x14ac:dyDescent="0.25">
      <c r="A491" t="s">
        <v>898</v>
      </c>
      <c r="B491">
        <v>22</v>
      </c>
      <c r="C491" t="s">
        <v>18</v>
      </c>
      <c r="D491" t="s">
        <v>33</v>
      </c>
      <c r="E491" t="s">
        <v>28</v>
      </c>
      <c r="F491" t="s">
        <v>64</v>
      </c>
      <c r="G491" t="s">
        <v>899</v>
      </c>
      <c r="H491">
        <v>4</v>
      </c>
      <c r="I491">
        <v>6518</v>
      </c>
      <c r="J491">
        <v>10</v>
      </c>
      <c r="K491" t="s">
        <v>24</v>
      </c>
      <c r="L491">
        <v>1</v>
      </c>
      <c r="M491">
        <v>1</v>
      </c>
      <c r="N491">
        <v>3</v>
      </c>
      <c r="O491">
        <v>3</v>
      </c>
      <c r="P491" t="s">
        <v>36</v>
      </c>
    </row>
    <row r="492" spans="1:16" x14ac:dyDescent="0.25">
      <c r="A492" t="s">
        <v>900</v>
      </c>
      <c r="B492">
        <v>20</v>
      </c>
      <c r="C492" t="s">
        <v>26</v>
      </c>
      <c r="D492" t="s">
        <v>33</v>
      </c>
      <c r="E492" t="s">
        <v>28</v>
      </c>
      <c r="F492" t="s">
        <v>29</v>
      </c>
      <c r="G492" t="s">
        <v>901</v>
      </c>
      <c r="H492">
        <v>18</v>
      </c>
      <c r="I492">
        <v>9977</v>
      </c>
      <c r="J492">
        <v>5</v>
      </c>
      <c r="K492" t="s">
        <v>24</v>
      </c>
      <c r="L492">
        <v>2</v>
      </c>
      <c r="M492">
        <v>3</v>
      </c>
      <c r="N492">
        <v>3</v>
      </c>
      <c r="O492">
        <v>4</v>
      </c>
      <c r="P492" t="s">
        <v>24</v>
      </c>
    </row>
    <row r="493" spans="1:16" x14ac:dyDescent="0.25">
      <c r="A493" t="s">
        <v>902</v>
      </c>
      <c r="B493">
        <v>24</v>
      </c>
      <c r="C493" t="s">
        <v>18</v>
      </c>
      <c r="D493" t="s">
        <v>27</v>
      </c>
      <c r="E493" t="s">
        <v>28</v>
      </c>
      <c r="F493" t="s">
        <v>59</v>
      </c>
      <c r="G493" t="s">
        <v>903</v>
      </c>
      <c r="H493">
        <v>0</v>
      </c>
      <c r="I493">
        <v>5902</v>
      </c>
      <c r="J493">
        <v>24</v>
      </c>
      <c r="K493" t="s">
        <v>36</v>
      </c>
      <c r="L493">
        <v>2</v>
      </c>
      <c r="M493">
        <v>3</v>
      </c>
      <c r="N493">
        <v>3</v>
      </c>
      <c r="O493">
        <v>3</v>
      </c>
      <c r="P493" t="s">
        <v>36</v>
      </c>
    </row>
    <row r="494" spans="1:16" x14ac:dyDescent="0.25">
      <c r="A494" t="s">
        <v>904</v>
      </c>
      <c r="B494">
        <v>46</v>
      </c>
      <c r="C494" t="s">
        <v>18</v>
      </c>
      <c r="D494" t="s">
        <v>33</v>
      </c>
      <c r="E494" t="s">
        <v>28</v>
      </c>
      <c r="F494" t="s">
        <v>59</v>
      </c>
      <c r="G494" t="s">
        <v>905</v>
      </c>
      <c r="H494">
        <v>1</v>
      </c>
      <c r="I494">
        <v>5515</v>
      </c>
      <c r="J494">
        <v>3</v>
      </c>
      <c r="K494" t="s">
        <v>24</v>
      </c>
      <c r="L494">
        <v>1</v>
      </c>
      <c r="M494">
        <v>3</v>
      </c>
      <c r="N494">
        <v>3</v>
      </c>
      <c r="O494">
        <v>4</v>
      </c>
      <c r="P494" t="s">
        <v>24</v>
      </c>
    </row>
    <row r="495" spans="1:16" x14ac:dyDescent="0.25">
      <c r="A495" t="s">
        <v>1188</v>
      </c>
      <c r="B495">
        <v>32</v>
      </c>
      <c r="C495" t="s">
        <v>18</v>
      </c>
      <c r="D495" t="s">
        <v>19</v>
      </c>
      <c r="E495" t="s">
        <v>20</v>
      </c>
      <c r="F495" t="s">
        <v>40</v>
      </c>
      <c r="G495" t="s">
        <v>1189</v>
      </c>
      <c r="H495">
        <v>8</v>
      </c>
      <c r="J495">
        <v>30</v>
      </c>
      <c r="K495" t="s">
        <v>36</v>
      </c>
      <c r="L495">
        <v>3</v>
      </c>
      <c r="M495">
        <v>3</v>
      </c>
      <c r="N495">
        <v>3</v>
      </c>
      <c r="O495">
        <v>0</v>
      </c>
      <c r="P495" t="s">
        <v>24</v>
      </c>
    </row>
    <row r="496" spans="1:16" x14ac:dyDescent="0.25">
      <c r="A496" t="s">
        <v>440</v>
      </c>
      <c r="B496">
        <v>36</v>
      </c>
      <c r="C496" t="s">
        <v>18</v>
      </c>
      <c r="D496" t="s">
        <v>33</v>
      </c>
      <c r="E496" t="s">
        <v>110</v>
      </c>
      <c r="F496" t="s">
        <v>111</v>
      </c>
      <c r="G496" t="s">
        <v>441</v>
      </c>
      <c r="H496">
        <v>0</v>
      </c>
      <c r="I496">
        <v>4984</v>
      </c>
      <c r="J496">
        <v>5</v>
      </c>
      <c r="K496" t="s">
        <v>24</v>
      </c>
      <c r="L496">
        <v>3</v>
      </c>
      <c r="M496">
        <v>4</v>
      </c>
      <c r="N496">
        <v>3</v>
      </c>
      <c r="O496">
        <v>5</v>
      </c>
      <c r="P496" t="s">
        <v>36</v>
      </c>
    </row>
    <row r="497" spans="1:16" x14ac:dyDescent="0.25">
      <c r="A497" t="s">
        <v>906</v>
      </c>
      <c r="B497">
        <v>48</v>
      </c>
      <c r="C497" t="s">
        <v>26</v>
      </c>
      <c r="D497" t="s">
        <v>33</v>
      </c>
      <c r="E497" t="s">
        <v>28</v>
      </c>
      <c r="F497" t="s">
        <v>64</v>
      </c>
      <c r="G497" t="s">
        <v>907</v>
      </c>
      <c r="H497">
        <v>3</v>
      </c>
      <c r="I497">
        <v>5964</v>
      </c>
      <c r="J497">
        <v>1</v>
      </c>
      <c r="K497" t="s">
        <v>24</v>
      </c>
      <c r="L497">
        <v>4</v>
      </c>
      <c r="M497">
        <v>2</v>
      </c>
      <c r="N497">
        <v>3</v>
      </c>
      <c r="O497">
        <v>3</v>
      </c>
      <c r="P497" t="s">
        <v>24</v>
      </c>
    </row>
    <row r="498" spans="1:16" x14ac:dyDescent="0.25">
      <c r="A498" t="s">
        <v>908</v>
      </c>
      <c r="B498">
        <v>32</v>
      </c>
      <c r="C498" t="s">
        <v>18</v>
      </c>
      <c r="D498" t="s">
        <v>19</v>
      </c>
      <c r="E498" t="s">
        <v>110</v>
      </c>
      <c r="F498" t="s">
        <v>128</v>
      </c>
      <c r="G498" t="s">
        <v>909</v>
      </c>
      <c r="H498">
        <v>5</v>
      </c>
      <c r="I498">
        <v>13087</v>
      </c>
      <c r="J498">
        <v>1</v>
      </c>
      <c r="K498" t="s">
        <v>24</v>
      </c>
      <c r="L498">
        <v>1</v>
      </c>
      <c r="M498">
        <v>1</v>
      </c>
      <c r="N498">
        <v>3</v>
      </c>
      <c r="O498">
        <v>4</v>
      </c>
      <c r="P498" t="s">
        <v>36</v>
      </c>
    </row>
    <row r="499" spans="1:16" x14ac:dyDescent="0.25">
      <c r="A499" t="s">
        <v>910</v>
      </c>
      <c r="B499">
        <v>24</v>
      </c>
      <c r="C499" t="s">
        <v>18</v>
      </c>
      <c r="D499" t="s">
        <v>19</v>
      </c>
      <c r="E499" t="s">
        <v>20</v>
      </c>
      <c r="F499" t="s">
        <v>44</v>
      </c>
      <c r="G499" t="s">
        <v>911</v>
      </c>
      <c r="H499">
        <v>0</v>
      </c>
      <c r="I499">
        <v>6350</v>
      </c>
      <c r="J499">
        <v>1</v>
      </c>
      <c r="K499" t="s">
        <v>36</v>
      </c>
      <c r="L499">
        <v>3</v>
      </c>
      <c r="M499">
        <v>3</v>
      </c>
      <c r="N499">
        <v>3</v>
      </c>
      <c r="O499">
        <v>0</v>
      </c>
      <c r="P499" t="s">
        <v>36</v>
      </c>
    </row>
    <row r="500" spans="1:16" x14ac:dyDescent="0.25">
      <c r="A500" t="s">
        <v>912</v>
      </c>
      <c r="B500">
        <v>25</v>
      </c>
      <c r="C500" t="s">
        <v>18</v>
      </c>
      <c r="D500" t="s">
        <v>27</v>
      </c>
      <c r="E500" t="s">
        <v>20</v>
      </c>
      <c r="F500" t="s">
        <v>44</v>
      </c>
      <c r="G500" t="s">
        <v>913</v>
      </c>
      <c r="H500">
        <v>0</v>
      </c>
      <c r="I500">
        <v>6527</v>
      </c>
      <c r="J500">
        <v>7</v>
      </c>
      <c r="K500" t="s">
        <v>24</v>
      </c>
      <c r="L500">
        <v>4</v>
      </c>
      <c r="M500">
        <v>1</v>
      </c>
      <c r="N500">
        <v>4</v>
      </c>
      <c r="O500">
        <v>4</v>
      </c>
      <c r="P500" t="s">
        <v>24</v>
      </c>
    </row>
    <row r="501" spans="1:16" x14ac:dyDescent="0.25">
      <c r="A501" t="s">
        <v>914</v>
      </c>
      <c r="B501">
        <v>27</v>
      </c>
      <c r="C501" t="s">
        <v>18</v>
      </c>
      <c r="D501" t="s">
        <v>19</v>
      </c>
      <c r="E501" t="s">
        <v>28</v>
      </c>
      <c r="F501" t="s">
        <v>64</v>
      </c>
      <c r="G501" t="s">
        <v>915</v>
      </c>
      <c r="H501">
        <v>10</v>
      </c>
      <c r="I501">
        <v>5097</v>
      </c>
      <c r="J501">
        <v>1</v>
      </c>
      <c r="K501" t="s">
        <v>36</v>
      </c>
      <c r="L501">
        <v>3</v>
      </c>
      <c r="M501">
        <v>3</v>
      </c>
      <c r="N501">
        <v>4</v>
      </c>
      <c r="O501">
        <v>5</v>
      </c>
      <c r="P501" t="s">
        <v>24</v>
      </c>
    </row>
    <row r="502" spans="1:16" x14ac:dyDescent="0.25">
      <c r="A502" t="s">
        <v>916</v>
      </c>
      <c r="B502">
        <v>36</v>
      </c>
      <c r="C502" t="s">
        <v>18</v>
      </c>
      <c r="D502" t="s">
        <v>33</v>
      </c>
      <c r="E502" t="s">
        <v>20</v>
      </c>
      <c r="F502" t="s">
        <v>44</v>
      </c>
      <c r="G502" t="s">
        <v>508</v>
      </c>
      <c r="H502">
        <v>1</v>
      </c>
      <c r="I502">
        <v>6886</v>
      </c>
      <c r="J502">
        <v>1</v>
      </c>
      <c r="K502" t="s">
        <v>36</v>
      </c>
      <c r="L502">
        <v>4</v>
      </c>
      <c r="M502">
        <v>3</v>
      </c>
      <c r="N502">
        <v>4</v>
      </c>
      <c r="O502">
        <v>4</v>
      </c>
      <c r="P502" t="s">
        <v>36</v>
      </c>
    </row>
    <row r="503" spans="1:16" x14ac:dyDescent="0.25">
      <c r="A503" t="s">
        <v>917</v>
      </c>
      <c r="B503">
        <v>29</v>
      </c>
      <c r="C503" t="s">
        <v>18</v>
      </c>
      <c r="D503" t="s">
        <v>19</v>
      </c>
      <c r="E503" t="s">
        <v>20</v>
      </c>
      <c r="F503" t="s">
        <v>21</v>
      </c>
      <c r="G503" t="s">
        <v>918</v>
      </c>
      <c r="H503">
        <v>10</v>
      </c>
      <c r="I503">
        <v>11400</v>
      </c>
      <c r="J503">
        <v>11</v>
      </c>
      <c r="K503" t="s">
        <v>24</v>
      </c>
      <c r="L503">
        <v>2</v>
      </c>
      <c r="M503">
        <v>4</v>
      </c>
      <c r="N503">
        <v>3</v>
      </c>
      <c r="O503">
        <v>4</v>
      </c>
      <c r="P503" t="s">
        <v>24</v>
      </c>
    </row>
    <row r="504" spans="1:16" x14ac:dyDescent="0.25">
      <c r="A504" t="s">
        <v>919</v>
      </c>
      <c r="B504">
        <v>27</v>
      </c>
      <c r="C504" t="s">
        <v>26</v>
      </c>
      <c r="D504" t="s">
        <v>19</v>
      </c>
      <c r="E504" t="s">
        <v>28</v>
      </c>
      <c r="F504" t="s">
        <v>64</v>
      </c>
      <c r="G504" t="s">
        <v>920</v>
      </c>
      <c r="H504">
        <v>5</v>
      </c>
      <c r="I504">
        <v>6354</v>
      </c>
      <c r="J504">
        <v>1</v>
      </c>
      <c r="K504" t="s">
        <v>24</v>
      </c>
      <c r="L504">
        <v>4</v>
      </c>
      <c r="M504">
        <v>3</v>
      </c>
      <c r="N504">
        <v>3</v>
      </c>
      <c r="O504">
        <v>3</v>
      </c>
      <c r="P504" t="s">
        <v>24</v>
      </c>
    </row>
    <row r="505" spans="1:16" x14ac:dyDescent="0.25">
      <c r="A505" t="s">
        <v>921</v>
      </c>
      <c r="B505">
        <v>30</v>
      </c>
      <c r="C505" t="s">
        <v>26</v>
      </c>
      <c r="D505" t="s">
        <v>19</v>
      </c>
      <c r="E505" t="s">
        <v>20</v>
      </c>
      <c r="F505" t="s">
        <v>40</v>
      </c>
      <c r="G505" t="s">
        <v>922</v>
      </c>
      <c r="H505">
        <v>6</v>
      </c>
      <c r="I505">
        <v>3916</v>
      </c>
      <c r="J505">
        <v>16</v>
      </c>
      <c r="K505" t="s">
        <v>36</v>
      </c>
      <c r="L505">
        <v>1</v>
      </c>
      <c r="M505">
        <v>2</v>
      </c>
      <c r="N505">
        <v>3</v>
      </c>
      <c r="O505">
        <v>2</v>
      </c>
      <c r="P505" t="s">
        <v>24</v>
      </c>
    </row>
    <row r="506" spans="1:16" x14ac:dyDescent="0.25">
      <c r="A506" t="s">
        <v>923</v>
      </c>
      <c r="B506">
        <v>36</v>
      </c>
      <c r="C506" t="s">
        <v>18</v>
      </c>
      <c r="D506" t="s">
        <v>19</v>
      </c>
      <c r="E506" t="s">
        <v>20</v>
      </c>
      <c r="F506" t="s">
        <v>40</v>
      </c>
      <c r="G506" t="s">
        <v>924</v>
      </c>
      <c r="H506">
        <v>0</v>
      </c>
      <c r="I506">
        <v>3463</v>
      </c>
      <c r="J506">
        <v>5</v>
      </c>
      <c r="K506" t="s">
        <v>24</v>
      </c>
      <c r="L506">
        <v>3</v>
      </c>
      <c r="M506">
        <v>4</v>
      </c>
      <c r="N506">
        <v>3</v>
      </c>
      <c r="O506">
        <v>2</v>
      </c>
      <c r="P506" t="s">
        <v>36</v>
      </c>
    </row>
    <row r="507" spans="1:16" x14ac:dyDescent="0.25">
      <c r="A507" t="s">
        <v>925</v>
      </c>
      <c r="B507">
        <v>24</v>
      </c>
      <c r="C507" t="s">
        <v>26</v>
      </c>
      <c r="D507" t="s">
        <v>33</v>
      </c>
      <c r="E507" t="s">
        <v>28</v>
      </c>
      <c r="F507" t="s">
        <v>29</v>
      </c>
      <c r="G507" t="s">
        <v>926</v>
      </c>
      <c r="H507">
        <v>0</v>
      </c>
      <c r="I507">
        <v>11632</v>
      </c>
      <c r="J507">
        <v>1</v>
      </c>
      <c r="K507" t="s">
        <v>24</v>
      </c>
      <c r="L507">
        <v>4</v>
      </c>
      <c r="M507">
        <v>3</v>
      </c>
      <c r="N507">
        <v>4</v>
      </c>
      <c r="O507">
        <v>0</v>
      </c>
      <c r="P507" t="s">
        <v>24</v>
      </c>
    </row>
    <row r="508" spans="1:16" x14ac:dyDescent="0.25">
      <c r="A508" t="s">
        <v>927</v>
      </c>
      <c r="B508">
        <v>29</v>
      </c>
      <c r="C508" t="s">
        <v>18</v>
      </c>
      <c r="D508" t="s">
        <v>19</v>
      </c>
      <c r="E508" t="s">
        <v>20</v>
      </c>
      <c r="F508" t="s">
        <v>21</v>
      </c>
      <c r="G508" t="s">
        <v>928</v>
      </c>
      <c r="H508">
        <v>4</v>
      </c>
      <c r="I508">
        <v>9468</v>
      </c>
      <c r="J508">
        <v>1</v>
      </c>
      <c r="K508" t="s">
        <v>36</v>
      </c>
      <c r="L508">
        <v>3</v>
      </c>
      <c r="M508">
        <v>4</v>
      </c>
      <c r="N508">
        <v>3</v>
      </c>
      <c r="O508">
        <v>2</v>
      </c>
      <c r="P508" t="s">
        <v>24</v>
      </c>
    </row>
    <row r="509" spans="1:16" x14ac:dyDescent="0.25">
      <c r="A509" t="s">
        <v>929</v>
      </c>
      <c r="B509">
        <v>25</v>
      </c>
      <c r="C509" t="s">
        <v>18</v>
      </c>
      <c r="D509" t="s">
        <v>33</v>
      </c>
      <c r="E509" t="s">
        <v>28</v>
      </c>
      <c r="F509" t="s">
        <v>34</v>
      </c>
      <c r="G509" t="s">
        <v>499</v>
      </c>
      <c r="H509">
        <v>0</v>
      </c>
      <c r="I509">
        <v>2795</v>
      </c>
      <c r="J509">
        <v>7</v>
      </c>
      <c r="K509" t="s">
        <v>36</v>
      </c>
      <c r="L509">
        <v>2</v>
      </c>
      <c r="M509">
        <v>2</v>
      </c>
      <c r="N509">
        <v>3</v>
      </c>
      <c r="O509">
        <v>4</v>
      </c>
      <c r="P509" t="s">
        <v>24</v>
      </c>
    </row>
    <row r="510" spans="1:16" x14ac:dyDescent="0.25">
      <c r="A510" t="s">
        <v>930</v>
      </c>
      <c r="B510">
        <v>25</v>
      </c>
      <c r="C510" t="s">
        <v>18</v>
      </c>
      <c r="D510" t="s">
        <v>19</v>
      </c>
      <c r="E510" t="s">
        <v>20</v>
      </c>
      <c r="F510" t="s">
        <v>40</v>
      </c>
      <c r="G510" t="s">
        <v>931</v>
      </c>
      <c r="H510">
        <v>2</v>
      </c>
      <c r="I510">
        <v>2908</v>
      </c>
      <c r="J510">
        <v>2</v>
      </c>
      <c r="K510" t="s">
        <v>36</v>
      </c>
      <c r="L510">
        <v>3</v>
      </c>
      <c r="M510">
        <v>3</v>
      </c>
      <c r="N510">
        <v>3</v>
      </c>
      <c r="O510">
        <v>1</v>
      </c>
      <c r="P510" t="s">
        <v>24</v>
      </c>
    </row>
    <row r="511" spans="1:16" x14ac:dyDescent="0.25">
      <c r="A511" t="s">
        <v>932</v>
      </c>
      <c r="B511">
        <v>49</v>
      </c>
      <c r="C511" t="s">
        <v>26</v>
      </c>
      <c r="D511" t="s">
        <v>33</v>
      </c>
      <c r="E511" t="s">
        <v>28</v>
      </c>
      <c r="F511" t="s">
        <v>59</v>
      </c>
      <c r="G511" t="s">
        <v>933</v>
      </c>
      <c r="H511">
        <v>1</v>
      </c>
      <c r="I511">
        <v>6538</v>
      </c>
      <c r="J511">
        <v>1</v>
      </c>
      <c r="K511" t="s">
        <v>24</v>
      </c>
      <c r="L511">
        <v>3</v>
      </c>
      <c r="M511">
        <v>4</v>
      </c>
      <c r="N511">
        <v>3</v>
      </c>
      <c r="O511">
        <v>5</v>
      </c>
      <c r="P511" t="s">
        <v>24</v>
      </c>
    </row>
    <row r="512" spans="1:16" x14ac:dyDescent="0.25">
      <c r="A512" t="s">
        <v>934</v>
      </c>
      <c r="B512">
        <v>39</v>
      </c>
      <c r="C512" t="s">
        <v>18</v>
      </c>
      <c r="D512" t="s">
        <v>33</v>
      </c>
      <c r="E512" t="s">
        <v>28</v>
      </c>
      <c r="F512" t="s">
        <v>59</v>
      </c>
      <c r="G512" t="s">
        <v>236</v>
      </c>
      <c r="H512">
        <v>3</v>
      </c>
      <c r="I512">
        <v>6939</v>
      </c>
      <c r="J512">
        <v>5</v>
      </c>
      <c r="K512" t="s">
        <v>24</v>
      </c>
      <c r="L512">
        <v>2</v>
      </c>
      <c r="M512">
        <v>1</v>
      </c>
      <c r="N512">
        <v>3</v>
      </c>
      <c r="O512">
        <v>2</v>
      </c>
      <c r="P512" t="s">
        <v>24</v>
      </c>
    </row>
    <row r="513" spans="1:16" x14ac:dyDescent="0.25">
      <c r="A513" t="s">
        <v>935</v>
      </c>
      <c r="B513">
        <v>30</v>
      </c>
      <c r="C513" t="s">
        <v>18</v>
      </c>
      <c r="D513" t="s">
        <v>33</v>
      </c>
      <c r="E513" t="s">
        <v>20</v>
      </c>
      <c r="F513" t="s">
        <v>21</v>
      </c>
      <c r="G513" t="s">
        <v>936</v>
      </c>
      <c r="H513">
        <v>3</v>
      </c>
      <c r="I513">
        <v>9735</v>
      </c>
      <c r="J513">
        <v>13</v>
      </c>
      <c r="K513" t="s">
        <v>36</v>
      </c>
      <c r="L513">
        <v>4</v>
      </c>
      <c r="M513">
        <v>2</v>
      </c>
      <c r="N513">
        <v>3</v>
      </c>
      <c r="O513">
        <v>3</v>
      </c>
      <c r="P513" t="s">
        <v>36</v>
      </c>
    </row>
    <row r="514" spans="1:16" x14ac:dyDescent="0.25">
      <c r="A514" t="s">
        <v>937</v>
      </c>
      <c r="B514">
        <v>26</v>
      </c>
      <c r="C514" t="s">
        <v>18</v>
      </c>
      <c r="D514" t="s">
        <v>33</v>
      </c>
      <c r="E514" t="s">
        <v>28</v>
      </c>
      <c r="F514" t="s">
        <v>59</v>
      </c>
      <c r="G514" t="s">
        <v>525</v>
      </c>
      <c r="H514">
        <v>0</v>
      </c>
      <c r="I514">
        <v>7171</v>
      </c>
      <c r="J514">
        <v>1</v>
      </c>
      <c r="K514" t="s">
        <v>36</v>
      </c>
      <c r="L514">
        <v>4</v>
      </c>
      <c r="M514">
        <v>2</v>
      </c>
      <c r="N514">
        <v>3</v>
      </c>
      <c r="O514">
        <v>3</v>
      </c>
      <c r="P514" t="s">
        <v>36</v>
      </c>
    </row>
    <row r="515" spans="1:16" x14ac:dyDescent="0.25">
      <c r="A515" t="s">
        <v>938</v>
      </c>
      <c r="B515">
        <v>36</v>
      </c>
      <c r="C515" t="s">
        <v>18</v>
      </c>
      <c r="D515" t="s">
        <v>33</v>
      </c>
      <c r="E515" t="s">
        <v>110</v>
      </c>
      <c r="F515" t="s">
        <v>128</v>
      </c>
      <c r="G515" t="s">
        <v>939</v>
      </c>
      <c r="H515">
        <v>0</v>
      </c>
      <c r="I515">
        <v>9478</v>
      </c>
      <c r="J515">
        <v>11</v>
      </c>
      <c r="K515" t="s">
        <v>24</v>
      </c>
      <c r="L515">
        <v>2</v>
      </c>
      <c r="M515">
        <v>3</v>
      </c>
      <c r="N515">
        <v>3</v>
      </c>
      <c r="O515">
        <v>2</v>
      </c>
      <c r="P515" t="s">
        <v>36</v>
      </c>
    </row>
    <row r="516" spans="1:16" x14ac:dyDescent="0.25">
      <c r="A516" t="s">
        <v>940</v>
      </c>
      <c r="B516">
        <v>30</v>
      </c>
      <c r="C516" t="s">
        <v>26</v>
      </c>
      <c r="D516" t="s">
        <v>19</v>
      </c>
      <c r="E516" t="s">
        <v>28</v>
      </c>
      <c r="F516" t="s">
        <v>34</v>
      </c>
      <c r="G516" t="s">
        <v>895</v>
      </c>
      <c r="H516">
        <v>1</v>
      </c>
      <c r="I516">
        <v>3444</v>
      </c>
      <c r="J516">
        <v>3</v>
      </c>
      <c r="K516" t="s">
        <v>24</v>
      </c>
      <c r="L516">
        <v>4</v>
      </c>
      <c r="M516">
        <v>4</v>
      </c>
      <c r="N516">
        <v>3</v>
      </c>
      <c r="O516">
        <v>1</v>
      </c>
      <c r="P516" t="s">
        <v>24</v>
      </c>
    </row>
    <row r="517" spans="1:16" x14ac:dyDescent="0.25">
      <c r="A517" t="s">
        <v>941</v>
      </c>
      <c r="B517">
        <v>35</v>
      </c>
      <c r="C517" t="s">
        <v>18</v>
      </c>
      <c r="D517" t="s">
        <v>33</v>
      </c>
      <c r="E517" t="s">
        <v>20</v>
      </c>
      <c r="F517" t="s">
        <v>21</v>
      </c>
      <c r="G517" t="s">
        <v>942</v>
      </c>
      <c r="H517">
        <v>3</v>
      </c>
      <c r="I517">
        <v>13092</v>
      </c>
      <c r="J517">
        <v>1</v>
      </c>
      <c r="K517" t="s">
        <v>24</v>
      </c>
      <c r="L517">
        <v>3</v>
      </c>
      <c r="M517">
        <v>1</v>
      </c>
      <c r="N517">
        <v>3</v>
      </c>
      <c r="O517">
        <v>4</v>
      </c>
      <c r="P517" t="s">
        <v>24</v>
      </c>
    </row>
    <row r="518" spans="1:16" x14ac:dyDescent="0.25">
      <c r="A518" t="s">
        <v>943</v>
      </c>
      <c r="B518">
        <v>28</v>
      </c>
      <c r="C518" t="s">
        <v>26</v>
      </c>
      <c r="D518" t="s">
        <v>19</v>
      </c>
      <c r="E518" t="s">
        <v>28</v>
      </c>
      <c r="F518" t="s">
        <v>29</v>
      </c>
      <c r="G518" t="s">
        <v>944</v>
      </c>
      <c r="H518">
        <v>0</v>
      </c>
      <c r="I518">
        <v>13152</v>
      </c>
      <c r="J518">
        <v>9</v>
      </c>
      <c r="K518" t="s">
        <v>24</v>
      </c>
      <c r="L518">
        <v>2</v>
      </c>
      <c r="M518">
        <v>3</v>
      </c>
      <c r="N518">
        <v>3</v>
      </c>
      <c r="O518">
        <v>3</v>
      </c>
      <c r="P518" t="s">
        <v>24</v>
      </c>
    </row>
    <row r="519" spans="1:16" x14ac:dyDescent="0.25">
      <c r="A519" t="s">
        <v>945</v>
      </c>
      <c r="B519">
        <v>35</v>
      </c>
      <c r="C519" t="s">
        <v>26</v>
      </c>
      <c r="D519" t="s">
        <v>27</v>
      </c>
      <c r="E519" t="s">
        <v>28</v>
      </c>
      <c r="F519" t="s">
        <v>59</v>
      </c>
      <c r="G519" t="s">
        <v>946</v>
      </c>
      <c r="H519">
        <v>3</v>
      </c>
      <c r="I519">
        <v>5674</v>
      </c>
      <c r="J519">
        <v>2</v>
      </c>
      <c r="K519" t="s">
        <v>36</v>
      </c>
      <c r="L519">
        <v>4</v>
      </c>
      <c r="M519">
        <v>3</v>
      </c>
      <c r="N519">
        <v>3</v>
      </c>
      <c r="O519">
        <v>2</v>
      </c>
      <c r="P519" t="s">
        <v>36</v>
      </c>
    </row>
    <row r="520" spans="1:16" x14ac:dyDescent="0.25">
      <c r="A520" t="s">
        <v>947</v>
      </c>
      <c r="B520">
        <v>29</v>
      </c>
      <c r="C520" t="s">
        <v>18</v>
      </c>
      <c r="D520" t="s">
        <v>19</v>
      </c>
      <c r="E520" t="s">
        <v>110</v>
      </c>
      <c r="F520" t="s">
        <v>128</v>
      </c>
      <c r="G520" t="s">
        <v>948</v>
      </c>
      <c r="H520">
        <v>8</v>
      </c>
      <c r="I520">
        <v>11929</v>
      </c>
      <c r="J520">
        <v>12</v>
      </c>
      <c r="K520" t="s">
        <v>36</v>
      </c>
      <c r="L520">
        <v>4</v>
      </c>
      <c r="M520">
        <v>2</v>
      </c>
      <c r="N520">
        <v>3</v>
      </c>
      <c r="O520">
        <v>3</v>
      </c>
      <c r="P520" t="s">
        <v>24</v>
      </c>
    </row>
    <row r="521" spans="1:16" x14ac:dyDescent="0.25">
      <c r="A521" t="s">
        <v>949</v>
      </c>
      <c r="B521">
        <v>39</v>
      </c>
      <c r="C521" t="s">
        <v>18</v>
      </c>
      <c r="D521" t="s">
        <v>33</v>
      </c>
      <c r="E521" t="s">
        <v>28</v>
      </c>
      <c r="F521" t="s">
        <v>64</v>
      </c>
      <c r="G521" t="s">
        <v>950</v>
      </c>
      <c r="H521">
        <v>2</v>
      </c>
      <c r="I521">
        <v>5329</v>
      </c>
      <c r="J521">
        <v>9</v>
      </c>
      <c r="K521" t="s">
        <v>24</v>
      </c>
      <c r="L521">
        <v>3</v>
      </c>
      <c r="M521">
        <v>3</v>
      </c>
      <c r="N521">
        <v>3</v>
      </c>
      <c r="O521">
        <v>4</v>
      </c>
      <c r="P521" t="s">
        <v>24</v>
      </c>
    </row>
    <row r="522" spans="1:16" x14ac:dyDescent="0.25">
      <c r="A522" t="s">
        <v>951</v>
      </c>
      <c r="B522">
        <v>33</v>
      </c>
      <c r="C522" t="s">
        <v>18</v>
      </c>
      <c r="D522" t="s">
        <v>33</v>
      </c>
      <c r="E522" t="s">
        <v>28</v>
      </c>
      <c r="F522" t="s">
        <v>29</v>
      </c>
      <c r="G522" t="s">
        <v>952</v>
      </c>
      <c r="H522">
        <v>8</v>
      </c>
      <c r="I522">
        <v>16736</v>
      </c>
      <c r="J522">
        <v>3</v>
      </c>
      <c r="K522" t="s">
        <v>24</v>
      </c>
      <c r="L522">
        <v>1</v>
      </c>
      <c r="M522">
        <v>4</v>
      </c>
      <c r="N522">
        <v>3</v>
      </c>
      <c r="O522">
        <v>5</v>
      </c>
      <c r="P522" t="s">
        <v>24</v>
      </c>
    </row>
    <row r="523" spans="1:16" x14ac:dyDescent="0.25">
      <c r="A523" t="s">
        <v>953</v>
      </c>
      <c r="B523">
        <v>31</v>
      </c>
      <c r="C523" t="s">
        <v>26</v>
      </c>
      <c r="D523" t="s">
        <v>19</v>
      </c>
      <c r="E523" t="s">
        <v>20</v>
      </c>
      <c r="F523" t="s">
        <v>40</v>
      </c>
      <c r="G523" t="s">
        <v>954</v>
      </c>
      <c r="H523">
        <v>0</v>
      </c>
      <c r="I523">
        <v>3304</v>
      </c>
      <c r="J523">
        <v>4</v>
      </c>
      <c r="K523" t="s">
        <v>24</v>
      </c>
      <c r="L523">
        <v>4</v>
      </c>
      <c r="M523">
        <v>4</v>
      </c>
      <c r="N523">
        <v>3</v>
      </c>
      <c r="O523">
        <v>5</v>
      </c>
      <c r="P523" t="s">
        <v>24</v>
      </c>
    </row>
    <row r="524" spans="1:16" x14ac:dyDescent="0.25">
      <c r="A524" t="s">
        <v>955</v>
      </c>
      <c r="B524">
        <v>40</v>
      </c>
      <c r="C524" t="s">
        <v>26</v>
      </c>
      <c r="D524" t="s">
        <v>19</v>
      </c>
      <c r="E524" t="s">
        <v>28</v>
      </c>
      <c r="F524" t="s">
        <v>64</v>
      </c>
      <c r="G524" t="s">
        <v>956</v>
      </c>
      <c r="H524">
        <v>1</v>
      </c>
      <c r="I524">
        <v>4622</v>
      </c>
      <c r="J524">
        <v>5</v>
      </c>
      <c r="K524" t="s">
        <v>24</v>
      </c>
      <c r="L524">
        <v>1</v>
      </c>
      <c r="M524">
        <v>2</v>
      </c>
      <c r="N524">
        <v>3</v>
      </c>
      <c r="O524">
        <v>1</v>
      </c>
      <c r="P524" t="s">
        <v>24</v>
      </c>
    </row>
    <row r="525" spans="1:16" x14ac:dyDescent="0.25">
      <c r="A525" t="s">
        <v>957</v>
      </c>
      <c r="B525">
        <v>43</v>
      </c>
      <c r="C525" t="s">
        <v>26</v>
      </c>
      <c r="D525" t="s">
        <v>33</v>
      </c>
      <c r="E525" t="s">
        <v>20</v>
      </c>
      <c r="F525" t="s">
        <v>40</v>
      </c>
      <c r="G525" t="s">
        <v>958</v>
      </c>
      <c r="H525">
        <v>4</v>
      </c>
      <c r="I525">
        <v>4159</v>
      </c>
      <c r="J525">
        <v>6</v>
      </c>
      <c r="K525" t="s">
        <v>24</v>
      </c>
      <c r="L525">
        <v>2</v>
      </c>
      <c r="M525">
        <v>4</v>
      </c>
      <c r="N525">
        <v>3</v>
      </c>
      <c r="O525">
        <v>1</v>
      </c>
      <c r="P525" t="s">
        <v>24</v>
      </c>
    </row>
    <row r="526" spans="1:16" x14ac:dyDescent="0.25">
      <c r="A526" t="s">
        <v>1190</v>
      </c>
      <c r="B526">
        <v>23</v>
      </c>
      <c r="C526" t="s">
        <v>26</v>
      </c>
      <c r="D526" t="s">
        <v>33</v>
      </c>
      <c r="E526" t="s">
        <v>28</v>
      </c>
      <c r="F526" t="s">
        <v>64</v>
      </c>
      <c r="G526" t="s">
        <v>1191</v>
      </c>
      <c r="H526">
        <v>9</v>
      </c>
      <c r="J526">
        <v>8</v>
      </c>
      <c r="K526" t="s">
        <v>24</v>
      </c>
      <c r="L526">
        <v>2</v>
      </c>
      <c r="M526">
        <v>2</v>
      </c>
      <c r="N526">
        <v>4</v>
      </c>
      <c r="O526">
        <v>0</v>
      </c>
      <c r="P526" t="s">
        <v>24</v>
      </c>
    </row>
    <row r="527" spans="1:16" x14ac:dyDescent="0.25">
      <c r="A527" t="s">
        <v>959</v>
      </c>
      <c r="B527">
        <v>36</v>
      </c>
      <c r="C527" t="s">
        <v>26</v>
      </c>
      <c r="D527" t="s">
        <v>19</v>
      </c>
      <c r="E527" t="s">
        <v>28</v>
      </c>
      <c r="F527" t="s">
        <v>34</v>
      </c>
      <c r="G527" t="s">
        <v>960</v>
      </c>
      <c r="H527">
        <v>5</v>
      </c>
      <c r="I527">
        <v>3775</v>
      </c>
      <c r="J527">
        <v>8</v>
      </c>
      <c r="K527" t="s">
        <v>24</v>
      </c>
      <c r="L527">
        <v>3</v>
      </c>
      <c r="M527">
        <v>4</v>
      </c>
      <c r="N527">
        <v>3</v>
      </c>
      <c r="O527">
        <v>1</v>
      </c>
      <c r="P527" t="s">
        <v>24</v>
      </c>
    </row>
    <row r="528" spans="1:16" x14ac:dyDescent="0.25">
      <c r="A528" t="s">
        <v>961</v>
      </c>
      <c r="B528">
        <v>28</v>
      </c>
      <c r="C528" t="s">
        <v>26</v>
      </c>
      <c r="D528" t="s">
        <v>19</v>
      </c>
      <c r="E528" t="s">
        <v>28</v>
      </c>
      <c r="F528" t="s">
        <v>29</v>
      </c>
      <c r="G528" t="s">
        <v>962</v>
      </c>
      <c r="H528">
        <v>1</v>
      </c>
      <c r="I528">
        <v>15942</v>
      </c>
      <c r="J528">
        <v>10</v>
      </c>
      <c r="K528" t="s">
        <v>24</v>
      </c>
      <c r="L528">
        <v>4</v>
      </c>
      <c r="M528">
        <v>4</v>
      </c>
      <c r="N528">
        <v>3</v>
      </c>
      <c r="O528">
        <v>0</v>
      </c>
      <c r="P528" t="s">
        <v>24</v>
      </c>
    </row>
    <row r="529" spans="1:16" x14ac:dyDescent="0.25">
      <c r="A529" t="s">
        <v>963</v>
      </c>
      <c r="B529">
        <v>30</v>
      </c>
      <c r="C529" t="s">
        <v>18</v>
      </c>
      <c r="D529" t="s">
        <v>33</v>
      </c>
      <c r="E529" t="s">
        <v>20</v>
      </c>
      <c r="F529" t="s">
        <v>21</v>
      </c>
      <c r="G529" t="s">
        <v>903</v>
      </c>
      <c r="H529">
        <v>0</v>
      </c>
      <c r="I529">
        <v>8787</v>
      </c>
      <c r="J529">
        <v>2</v>
      </c>
      <c r="K529" t="s">
        <v>24</v>
      </c>
      <c r="L529">
        <v>1</v>
      </c>
      <c r="M529">
        <v>3</v>
      </c>
      <c r="N529">
        <v>4</v>
      </c>
      <c r="O529">
        <v>5</v>
      </c>
      <c r="P529" t="s">
        <v>24</v>
      </c>
    </row>
    <row r="530" spans="1:16" x14ac:dyDescent="0.25">
      <c r="A530" t="s">
        <v>964</v>
      </c>
      <c r="B530">
        <v>43</v>
      </c>
      <c r="C530" t="s">
        <v>26</v>
      </c>
      <c r="D530" t="s">
        <v>33</v>
      </c>
      <c r="E530" t="s">
        <v>20</v>
      </c>
      <c r="F530" t="s">
        <v>40</v>
      </c>
      <c r="G530" t="s">
        <v>965</v>
      </c>
      <c r="H530">
        <v>0</v>
      </c>
      <c r="I530">
        <v>2280</v>
      </c>
      <c r="J530">
        <v>17</v>
      </c>
      <c r="K530" t="s">
        <v>24</v>
      </c>
      <c r="L530">
        <v>3</v>
      </c>
      <c r="M530">
        <v>2</v>
      </c>
      <c r="N530">
        <v>3</v>
      </c>
      <c r="O530">
        <v>4</v>
      </c>
      <c r="P530" t="s">
        <v>24</v>
      </c>
    </row>
    <row r="531" spans="1:16" x14ac:dyDescent="0.25">
      <c r="A531" t="s">
        <v>966</v>
      </c>
      <c r="B531">
        <v>24</v>
      </c>
      <c r="C531" t="s">
        <v>26</v>
      </c>
      <c r="D531" t="s">
        <v>33</v>
      </c>
      <c r="E531" t="s">
        <v>28</v>
      </c>
      <c r="F531" t="s">
        <v>64</v>
      </c>
      <c r="G531" t="s">
        <v>187</v>
      </c>
      <c r="H531">
        <v>0</v>
      </c>
      <c r="I531">
        <v>5516</v>
      </c>
      <c r="J531">
        <v>4</v>
      </c>
      <c r="K531" t="s">
        <v>24</v>
      </c>
      <c r="L531">
        <v>4</v>
      </c>
      <c r="M531">
        <v>1</v>
      </c>
      <c r="N531">
        <v>3</v>
      </c>
      <c r="O531">
        <v>3</v>
      </c>
      <c r="P531" t="s">
        <v>24</v>
      </c>
    </row>
    <row r="532" spans="1:16" x14ac:dyDescent="0.25">
      <c r="A532" t="s">
        <v>967</v>
      </c>
      <c r="B532">
        <v>37</v>
      </c>
      <c r="C532" t="s">
        <v>18</v>
      </c>
      <c r="D532" t="s">
        <v>33</v>
      </c>
      <c r="E532" t="s">
        <v>28</v>
      </c>
      <c r="F532" t="s">
        <v>64</v>
      </c>
      <c r="G532" t="s">
        <v>968</v>
      </c>
      <c r="H532">
        <v>0</v>
      </c>
      <c r="I532">
        <v>3779</v>
      </c>
      <c r="J532">
        <v>16</v>
      </c>
      <c r="K532" t="s">
        <v>24</v>
      </c>
      <c r="L532">
        <v>4</v>
      </c>
      <c r="M532">
        <v>3</v>
      </c>
      <c r="N532">
        <v>3</v>
      </c>
      <c r="O532">
        <v>4</v>
      </c>
      <c r="P532" t="s">
        <v>24</v>
      </c>
    </row>
    <row r="533" spans="1:16" x14ac:dyDescent="0.25">
      <c r="A533" t="s">
        <v>969</v>
      </c>
      <c r="B533">
        <v>27</v>
      </c>
      <c r="C533" t="s">
        <v>26</v>
      </c>
      <c r="D533" t="s">
        <v>33</v>
      </c>
      <c r="E533" t="s">
        <v>28</v>
      </c>
      <c r="F533" t="s">
        <v>34</v>
      </c>
      <c r="G533" t="s">
        <v>970</v>
      </c>
      <c r="H533">
        <v>3</v>
      </c>
      <c r="I533">
        <v>3050</v>
      </c>
      <c r="J533">
        <v>4</v>
      </c>
      <c r="K533" t="s">
        <v>24</v>
      </c>
      <c r="L533">
        <v>1</v>
      </c>
      <c r="M533">
        <v>3</v>
      </c>
      <c r="N533">
        <v>3</v>
      </c>
      <c r="O533">
        <v>0</v>
      </c>
      <c r="P533" t="s">
        <v>24</v>
      </c>
    </row>
    <row r="534" spans="1:16" x14ac:dyDescent="0.25">
      <c r="A534" t="s">
        <v>971</v>
      </c>
      <c r="B534">
        <v>27</v>
      </c>
      <c r="C534" t="s">
        <v>18</v>
      </c>
      <c r="D534" t="s">
        <v>27</v>
      </c>
      <c r="E534" t="s">
        <v>1137</v>
      </c>
      <c r="F534" t="s">
        <v>40</v>
      </c>
      <c r="G534" t="s">
        <v>972</v>
      </c>
      <c r="H534">
        <v>4</v>
      </c>
      <c r="I534">
        <v>4315</v>
      </c>
      <c r="J534">
        <v>2</v>
      </c>
      <c r="K534" t="s">
        <v>24</v>
      </c>
      <c r="L534">
        <v>4</v>
      </c>
      <c r="M534">
        <v>4</v>
      </c>
      <c r="N534">
        <v>3</v>
      </c>
      <c r="O534">
        <v>3</v>
      </c>
      <c r="P534" t="s">
        <v>36</v>
      </c>
    </row>
    <row r="535" spans="1:16" x14ac:dyDescent="0.25">
      <c r="A535" t="s">
        <v>973</v>
      </c>
      <c r="B535">
        <v>20</v>
      </c>
      <c r="C535" t="s">
        <v>18</v>
      </c>
      <c r="D535" t="s">
        <v>33</v>
      </c>
      <c r="E535" t="s">
        <v>20</v>
      </c>
      <c r="F535" t="s">
        <v>21</v>
      </c>
      <c r="G535" t="s">
        <v>974</v>
      </c>
      <c r="H535">
        <v>0</v>
      </c>
      <c r="I535">
        <v>12818</v>
      </c>
      <c r="J535">
        <v>10</v>
      </c>
      <c r="K535" t="s">
        <v>36</v>
      </c>
      <c r="L535">
        <v>2</v>
      </c>
      <c r="M535">
        <v>2</v>
      </c>
      <c r="N535">
        <v>3</v>
      </c>
      <c r="O535">
        <v>0</v>
      </c>
      <c r="P535" t="s">
        <v>24</v>
      </c>
    </row>
    <row r="536" spans="1:16" x14ac:dyDescent="0.25">
      <c r="A536" t="s">
        <v>975</v>
      </c>
      <c r="B536">
        <v>21</v>
      </c>
      <c r="C536" t="s">
        <v>26</v>
      </c>
      <c r="D536" t="s">
        <v>33</v>
      </c>
      <c r="E536" t="s">
        <v>110</v>
      </c>
      <c r="F536" t="s">
        <v>128</v>
      </c>
      <c r="G536" t="s">
        <v>976</v>
      </c>
      <c r="H536">
        <v>2</v>
      </c>
      <c r="I536">
        <v>10729</v>
      </c>
      <c r="J536">
        <v>9</v>
      </c>
      <c r="K536" t="s">
        <v>36</v>
      </c>
      <c r="L536">
        <v>3</v>
      </c>
      <c r="M536">
        <v>3</v>
      </c>
      <c r="N536">
        <v>3</v>
      </c>
      <c r="O536">
        <v>0</v>
      </c>
      <c r="P536" t="s">
        <v>36</v>
      </c>
    </row>
    <row r="537" spans="1:16" x14ac:dyDescent="0.25">
      <c r="A537" t="s">
        <v>977</v>
      </c>
      <c r="B537">
        <v>20</v>
      </c>
      <c r="C537" t="s">
        <v>26</v>
      </c>
      <c r="D537" t="s">
        <v>27</v>
      </c>
      <c r="E537" t="s">
        <v>20</v>
      </c>
      <c r="F537" t="s">
        <v>40</v>
      </c>
      <c r="G537" t="s">
        <v>978</v>
      </c>
      <c r="H537">
        <v>9</v>
      </c>
      <c r="I537">
        <v>4203</v>
      </c>
      <c r="J537">
        <v>6</v>
      </c>
      <c r="K537" t="s">
        <v>24</v>
      </c>
      <c r="L537">
        <v>4</v>
      </c>
      <c r="M537">
        <v>4</v>
      </c>
      <c r="N537">
        <v>3</v>
      </c>
      <c r="O537">
        <v>1</v>
      </c>
      <c r="P537" t="s">
        <v>24</v>
      </c>
    </row>
    <row r="538" spans="1:16" x14ac:dyDescent="0.25">
      <c r="A538" t="s">
        <v>979</v>
      </c>
      <c r="B538">
        <v>38</v>
      </c>
      <c r="C538" t="s">
        <v>26</v>
      </c>
      <c r="D538" t="s">
        <v>19</v>
      </c>
      <c r="E538" t="s">
        <v>28</v>
      </c>
      <c r="F538" t="s">
        <v>34</v>
      </c>
      <c r="G538" t="s">
        <v>980</v>
      </c>
      <c r="H538">
        <v>3</v>
      </c>
      <c r="I538">
        <v>3306</v>
      </c>
      <c r="J538">
        <v>1</v>
      </c>
      <c r="K538" t="s">
        <v>36</v>
      </c>
      <c r="L538">
        <v>3</v>
      </c>
      <c r="M538">
        <v>4</v>
      </c>
      <c r="N538">
        <v>3</v>
      </c>
      <c r="O538">
        <v>2</v>
      </c>
      <c r="P538" t="s">
        <v>24</v>
      </c>
    </row>
    <row r="539" spans="1:16" x14ac:dyDescent="0.25">
      <c r="A539" t="s">
        <v>981</v>
      </c>
      <c r="B539">
        <v>41</v>
      </c>
      <c r="C539" t="s">
        <v>18</v>
      </c>
      <c r="D539" t="s">
        <v>19</v>
      </c>
      <c r="E539" t="s">
        <v>20</v>
      </c>
      <c r="F539" t="s">
        <v>40</v>
      </c>
      <c r="G539" t="s">
        <v>954</v>
      </c>
      <c r="H539">
        <v>0</v>
      </c>
      <c r="I539">
        <v>3224</v>
      </c>
      <c r="J539">
        <v>8</v>
      </c>
      <c r="K539" t="s">
        <v>24</v>
      </c>
      <c r="L539">
        <v>4</v>
      </c>
      <c r="M539">
        <v>3</v>
      </c>
      <c r="N539">
        <v>3</v>
      </c>
      <c r="O539">
        <v>1</v>
      </c>
      <c r="P539" t="s">
        <v>24</v>
      </c>
    </row>
    <row r="540" spans="1:16" x14ac:dyDescent="0.25">
      <c r="A540" t="s">
        <v>982</v>
      </c>
      <c r="B540">
        <v>21</v>
      </c>
      <c r="C540" t="s">
        <v>18</v>
      </c>
      <c r="D540" t="s">
        <v>27</v>
      </c>
      <c r="E540" t="s">
        <v>28</v>
      </c>
      <c r="F540" t="s">
        <v>64</v>
      </c>
      <c r="G540" t="s">
        <v>983</v>
      </c>
      <c r="H540">
        <v>3</v>
      </c>
      <c r="I540">
        <v>6529</v>
      </c>
      <c r="J540">
        <v>19</v>
      </c>
      <c r="K540" t="s">
        <v>36</v>
      </c>
      <c r="L540">
        <v>4</v>
      </c>
      <c r="M540">
        <v>3</v>
      </c>
      <c r="N540">
        <v>3</v>
      </c>
      <c r="O540">
        <v>5</v>
      </c>
      <c r="P540" t="s">
        <v>24</v>
      </c>
    </row>
    <row r="541" spans="1:16" x14ac:dyDescent="0.25">
      <c r="A541" t="s">
        <v>984</v>
      </c>
      <c r="B541">
        <v>23</v>
      </c>
      <c r="C541" t="s">
        <v>26</v>
      </c>
      <c r="D541" t="s">
        <v>19</v>
      </c>
      <c r="E541" t="s">
        <v>28</v>
      </c>
      <c r="F541" t="s">
        <v>34</v>
      </c>
      <c r="G541" t="s">
        <v>985</v>
      </c>
      <c r="H541">
        <v>4</v>
      </c>
      <c r="I541">
        <v>3293</v>
      </c>
      <c r="J541">
        <v>5</v>
      </c>
      <c r="K541" t="s">
        <v>24</v>
      </c>
      <c r="L541">
        <v>3</v>
      </c>
      <c r="M541">
        <v>3</v>
      </c>
      <c r="N541">
        <v>3</v>
      </c>
      <c r="O541">
        <v>5</v>
      </c>
      <c r="P541" t="s">
        <v>24</v>
      </c>
    </row>
    <row r="542" spans="1:16" x14ac:dyDescent="0.25">
      <c r="A542" t="s">
        <v>986</v>
      </c>
      <c r="B542">
        <v>24</v>
      </c>
      <c r="C542" t="s">
        <v>18</v>
      </c>
      <c r="D542" t="s">
        <v>33</v>
      </c>
      <c r="E542" t="s">
        <v>28</v>
      </c>
      <c r="F542" t="s">
        <v>59</v>
      </c>
      <c r="G542" t="s">
        <v>87</v>
      </c>
      <c r="H542">
        <v>1</v>
      </c>
      <c r="I542">
        <v>6366</v>
      </c>
      <c r="J542">
        <v>27</v>
      </c>
      <c r="K542" t="s">
        <v>24</v>
      </c>
      <c r="L542">
        <v>3</v>
      </c>
      <c r="M542">
        <v>2</v>
      </c>
      <c r="N542">
        <v>3</v>
      </c>
      <c r="O542">
        <v>4</v>
      </c>
      <c r="P542" t="s">
        <v>36</v>
      </c>
    </row>
    <row r="543" spans="1:16" x14ac:dyDescent="0.25">
      <c r="A543" t="s">
        <v>1192</v>
      </c>
      <c r="B543">
        <v>42</v>
      </c>
      <c r="C543" t="s">
        <v>26</v>
      </c>
      <c r="D543" t="s">
        <v>33</v>
      </c>
      <c r="E543" t="s">
        <v>28</v>
      </c>
      <c r="F543" t="s">
        <v>29</v>
      </c>
      <c r="G543" t="s">
        <v>1193</v>
      </c>
      <c r="H543">
        <v>6</v>
      </c>
      <c r="I543">
        <v>14290</v>
      </c>
      <c r="J543">
        <v>3</v>
      </c>
      <c r="K543" t="s">
        <v>24</v>
      </c>
      <c r="M543">
        <v>3</v>
      </c>
      <c r="N543">
        <v>3</v>
      </c>
      <c r="O543">
        <v>1</v>
      </c>
      <c r="P543" t="s">
        <v>36</v>
      </c>
    </row>
    <row r="544" spans="1:16" x14ac:dyDescent="0.25">
      <c r="A544" t="s">
        <v>987</v>
      </c>
      <c r="B544">
        <v>45</v>
      </c>
      <c r="C544" t="s">
        <v>26</v>
      </c>
      <c r="D544" t="s">
        <v>33</v>
      </c>
      <c r="E544" t="s">
        <v>28</v>
      </c>
      <c r="F544" t="s">
        <v>29</v>
      </c>
      <c r="G544" t="s">
        <v>194</v>
      </c>
      <c r="H544">
        <v>2</v>
      </c>
      <c r="I544">
        <v>11884</v>
      </c>
      <c r="J544">
        <v>10</v>
      </c>
      <c r="K544" t="s">
        <v>36</v>
      </c>
      <c r="L544">
        <v>3</v>
      </c>
      <c r="M544">
        <v>3</v>
      </c>
      <c r="N544">
        <v>3</v>
      </c>
      <c r="O544">
        <v>3</v>
      </c>
      <c r="P544" t="s">
        <v>24</v>
      </c>
    </row>
    <row r="545" spans="1:16" x14ac:dyDescent="0.25">
      <c r="A545" t="s">
        <v>988</v>
      </c>
      <c r="B545">
        <v>37</v>
      </c>
      <c r="C545" t="s">
        <v>18</v>
      </c>
      <c r="D545" t="s">
        <v>19</v>
      </c>
      <c r="E545" t="s">
        <v>28</v>
      </c>
      <c r="F545" t="s">
        <v>29</v>
      </c>
      <c r="G545" t="s">
        <v>989</v>
      </c>
      <c r="H545">
        <v>1</v>
      </c>
      <c r="I545">
        <v>10474</v>
      </c>
      <c r="J545">
        <v>1</v>
      </c>
      <c r="K545" t="s">
        <v>24</v>
      </c>
      <c r="L545">
        <v>3</v>
      </c>
      <c r="M545">
        <v>1</v>
      </c>
      <c r="N545">
        <v>3</v>
      </c>
      <c r="O545">
        <v>5</v>
      </c>
      <c r="P545" t="s">
        <v>24</v>
      </c>
    </row>
    <row r="546" spans="1:16" x14ac:dyDescent="0.25">
      <c r="A546" t="s">
        <v>990</v>
      </c>
      <c r="B546">
        <v>40</v>
      </c>
      <c r="C546" t="s">
        <v>18</v>
      </c>
      <c r="D546" t="s">
        <v>19</v>
      </c>
      <c r="E546" t="s">
        <v>28</v>
      </c>
      <c r="F546" t="s">
        <v>29</v>
      </c>
      <c r="G546" t="s">
        <v>991</v>
      </c>
      <c r="H546">
        <v>10</v>
      </c>
      <c r="I546">
        <v>13431</v>
      </c>
      <c r="J546">
        <v>13</v>
      </c>
      <c r="K546" t="s">
        <v>24</v>
      </c>
      <c r="L546">
        <v>4</v>
      </c>
      <c r="M546">
        <v>3</v>
      </c>
      <c r="N546">
        <v>3</v>
      </c>
      <c r="O546">
        <v>4</v>
      </c>
      <c r="P546" t="s">
        <v>24</v>
      </c>
    </row>
    <row r="547" spans="1:16" x14ac:dyDescent="0.25">
      <c r="A547" t="s">
        <v>1194</v>
      </c>
      <c r="B547">
        <v>48</v>
      </c>
      <c r="C547" t="s">
        <v>26</v>
      </c>
      <c r="D547" t="s">
        <v>33</v>
      </c>
      <c r="E547" t="s">
        <v>28</v>
      </c>
      <c r="F547" t="s">
        <v>34</v>
      </c>
      <c r="G547" t="s">
        <v>1195</v>
      </c>
      <c r="H547">
        <v>3</v>
      </c>
      <c r="I547">
        <v>3285</v>
      </c>
      <c r="J547">
        <v>6</v>
      </c>
      <c r="K547" t="s">
        <v>36</v>
      </c>
      <c r="L547">
        <v>2</v>
      </c>
      <c r="N547">
        <v>3</v>
      </c>
      <c r="O547">
        <v>1</v>
      </c>
      <c r="P547" t="s">
        <v>36</v>
      </c>
    </row>
    <row r="548" spans="1:16" x14ac:dyDescent="0.25">
      <c r="A548" t="s">
        <v>992</v>
      </c>
      <c r="B548">
        <v>28</v>
      </c>
      <c r="C548" t="s">
        <v>26</v>
      </c>
      <c r="D548" t="s">
        <v>19</v>
      </c>
      <c r="E548" t="s">
        <v>28</v>
      </c>
      <c r="F548" t="s">
        <v>64</v>
      </c>
      <c r="G548" t="s">
        <v>993</v>
      </c>
      <c r="H548">
        <v>3</v>
      </c>
      <c r="I548">
        <v>4813</v>
      </c>
      <c r="J548">
        <v>8</v>
      </c>
      <c r="K548" t="s">
        <v>24</v>
      </c>
      <c r="L548">
        <v>4</v>
      </c>
      <c r="M548">
        <v>2</v>
      </c>
      <c r="N548">
        <v>3</v>
      </c>
      <c r="O548">
        <v>1</v>
      </c>
      <c r="P548" t="s">
        <v>36</v>
      </c>
    </row>
    <row r="549" spans="1:16" x14ac:dyDescent="0.25">
      <c r="A549" t="s">
        <v>345</v>
      </c>
      <c r="B549">
        <v>27</v>
      </c>
      <c r="C549" t="s">
        <v>18</v>
      </c>
      <c r="D549" t="s">
        <v>19</v>
      </c>
      <c r="E549" t="s">
        <v>28</v>
      </c>
      <c r="F549" t="s">
        <v>59</v>
      </c>
      <c r="G549" t="s">
        <v>346</v>
      </c>
      <c r="H549">
        <v>2</v>
      </c>
      <c r="I549">
        <v>6288</v>
      </c>
      <c r="J549">
        <v>7</v>
      </c>
      <c r="K549" t="s">
        <v>36</v>
      </c>
      <c r="L549">
        <v>4</v>
      </c>
      <c r="M549">
        <v>3</v>
      </c>
      <c r="N549">
        <v>3</v>
      </c>
      <c r="O549">
        <v>0</v>
      </c>
      <c r="P549" t="s">
        <v>36</v>
      </c>
    </row>
    <row r="550" spans="1:16" x14ac:dyDescent="0.25">
      <c r="A550" t="s">
        <v>994</v>
      </c>
      <c r="B550">
        <v>37</v>
      </c>
      <c r="C550" t="s">
        <v>26</v>
      </c>
      <c r="D550" t="s">
        <v>33</v>
      </c>
      <c r="E550" t="s">
        <v>20</v>
      </c>
      <c r="F550" t="s">
        <v>40</v>
      </c>
      <c r="G550" t="s">
        <v>995</v>
      </c>
      <c r="H550">
        <v>2</v>
      </c>
      <c r="I550">
        <v>4243</v>
      </c>
      <c r="J550">
        <v>10</v>
      </c>
      <c r="K550" t="s">
        <v>24</v>
      </c>
      <c r="L550">
        <v>2</v>
      </c>
      <c r="M550">
        <v>2</v>
      </c>
      <c r="N550">
        <v>3</v>
      </c>
      <c r="O550">
        <v>0</v>
      </c>
      <c r="P550" t="s">
        <v>24</v>
      </c>
    </row>
    <row r="551" spans="1:16" x14ac:dyDescent="0.25">
      <c r="A551" t="s">
        <v>996</v>
      </c>
      <c r="B551">
        <v>38</v>
      </c>
      <c r="C551" t="s">
        <v>18</v>
      </c>
      <c r="D551" t="s">
        <v>19</v>
      </c>
      <c r="E551" t="s">
        <v>28</v>
      </c>
      <c r="F551" t="s">
        <v>34</v>
      </c>
      <c r="G551" t="s">
        <v>997</v>
      </c>
      <c r="H551">
        <v>2</v>
      </c>
      <c r="I551">
        <v>2847</v>
      </c>
      <c r="J551">
        <v>1</v>
      </c>
      <c r="K551" t="s">
        <v>36</v>
      </c>
      <c r="L551">
        <v>3</v>
      </c>
      <c r="M551">
        <v>3</v>
      </c>
      <c r="N551">
        <v>3</v>
      </c>
      <c r="O551">
        <v>1</v>
      </c>
      <c r="P551" t="s">
        <v>24</v>
      </c>
    </row>
    <row r="552" spans="1:16" x14ac:dyDescent="0.25">
      <c r="A552" t="s">
        <v>998</v>
      </c>
      <c r="B552">
        <v>47</v>
      </c>
      <c r="C552" t="s">
        <v>26</v>
      </c>
      <c r="D552" t="s">
        <v>33</v>
      </c>
      <c r="E552" t="s">
        <v>20</v>
      </c>
      <c r="F552" t="s">
        <v>40</v>
      </c>
      <c r="G552" t="s">
        <v>999</v>
      </c>
      <c r="H552">
        <v>4</v>
      </c>
      <c r="I552">
        <v>3252</v>
      </c>
      <c r="J552">
        <v>2</v>
      </c>
      <c r="K552" t="s">
        <v>24</v>
      </c>
      <c r="L552">
        <v>2</v>
      </c>
      <c r="M552">
        <v>2</v>
      </c>
      <c r="N552">
        <v>3</v>
      </c>
      <c r="O552">
        <v>3</v>
      </c>
      <c r="P552" t="s">
        <v>36</v>
      </c>
    </row>
    <row r="553" spans="1:16" x14ac:dyDescent="0.25">
      <c r="A553" t="s">
        <v>1000</v>
      </c>
      <c r="B553">
        <v>34</v>
      </c>
      <c r="C553" t="s">
        <v>18</v>
      </c>
      <c r="D553" t="s">
        <v>19</v>
      </c>
      <c r="E553" t="s">
        <v>28</v>
      </c>
      <c r="F553" t="s">
        <v>59</v>
      </c>
      <c r="G553" t="s">
        <v>1001</v>
      </c>
      <c r="H553">
        <v>7</v>
      </c>
      <c r="I553">
        <v>5356</v>
      </c>
      <c r="J553">
        <v>1</v>
      </c>
      <c r="K553" t="s">
        <v>24</v>
      </c>
      <c r="L553">
        <v>3</v>
      </c>
      <c r="M553">
        <v>3</v>
      </c>
      <c r="N553">
        <v>3</v>
      </c>
      <c r="O553">
        <v>4</v>
      </c>
      <c r="P553" t="s">
        <v>24</v>
      </c>
    </row>
    <row r="554" spans="1:16" x14ac:dyDescent="0.25">
      <c r="A554" t="s">
        <v>1002</v>
      </c>
      <c r="B554">
        <v>23</v>
      </c>
      <c r="C554" t="s">
        <v>26</v>
      </c>
      <c r="D554" t="s">
        <v>33</v>
      </c>
      <c r="E554" t="s">
        <v>28</v>
      </c>
      <c r="F554" t="s">
        <v>59</v>
      </c>
      <c r="G554" t="s">
        <v>1003</v>
      </c>
      <c r="H554">
        <v>6</v>
      </c>
      <c r="I554">
        <v>6042</v>
      </c>
      <c r="J554">
        <v>1</v>
      </c>
      <c r="K554" t="s">
        <v>36</v>
      </c>
      <c r="L554">
        <v>3</v>
      </c>
      <c r="M554">
        <v>2</v>
      </c>
      <c r="N554">
        <v>3</v>
      </c>
      <c r="O554">
        <v>1</v>
      </c>
      <c r="P554" t="s">
        <v>24</v>
      </c>
    </row>
    <row r="555" spans="1:16" x14ac:dyDescent="0.25">
      <c r="A555" t="s">
        <v>1004</v>
      </c>
      <c r="B555">
        <v>31</v>
      </c>
      <c r="C555" t="s">
        <v>18</v>
      </c>
      <c r="D555" t="s">
        <v>19</v>
      </c>
      <c r="E555" t="s">
        <v>28</v>
      </c>
      <c r="F555" t="s">
        <v>59</v>
      </c>
      <c r="G555" t="s">
        <v>1005</v>
      </c>
      <c r="H555">
        <v>1</v>
      </c>
      <c r="I555">
        <v>5250</v>
      </c>
      <c r="J555">
        <v>1</v>
      </c>
      <c r="K555" t="s">
        <v>24</v>
      </c>
      <c r="L555">
        <v>4</v>
      </c>
      <c r="M555">
        <v>4</v>
      </c>
      <c r="N555">
        <v>3</v>
      </c>
      <c r="O555">
        <v>2</v>
      </c>
      <c r="P555" t="s">
        <v>36</v>
      </c>
    </row>
    <row r="556" spans="1:16" x14ac:dyDescent="0.25">
      <c r="A556" t="s">
        <v>1006</v>
      </c>
      <c r="B556">
        <v>37</v>
      </c>
      <c r="C556" t="s">
        <v>26</v>
      </c>
      <c r="D556" t="s">
        <v>19</v>
      </c>
      <c r="E556" t="s">
        <v>28</v>
      </c>
      <c r="F556" t="s">
        <v>29</v>
      </c>
      <c r="G556" t="s">
        <v>1007</v>
      </c>
      <c r="H556">
        <v>1</v>
      </c>
      <c r="I556">
        <v>9817</v>
      </c>
      <c r="J556">
        <v>2</v>
      </c>
      <c r="K556" t="s">
        <v>36</v>
      </c>
      <c r="L556">
        <v>3</v>
      </c>
      <c r="M556">
        <v>3</v>
      </c>
      <c r="N556">
        <v>3</v>
      </c>
      <c r="O556">
        <v>0</v>
      </c>
      <c r="P556" t="s">
        <v>24</v>
      </c>
    </row>
    <row r="557" spans="1:16" x14ac:dyDescent="0.25">
      <c r="A557" t="s">
        <v>1008</v>
      </c>
      <c r="B557">
        <v>53</v>
      </c>
      <c r="C557" t="s">
        <v>26</v>
      </c>
      <c r="D557" t="s">
        <v>19</v>
      </c>
      <c r="E557" t="s">
        <v>20</v>
      </c>
      <c r="F557" t="s">
        <v>44</v>
      </c>
      <c r="G557" t="s">
        <v>1009</v>
      </c>
      <c r="H557">
        <v>14</v>
      </c>
      <c r="I557">
        <v>6325</v>
      </c>
      <c r="J557">
        <v>1</v>
      </c>
      <c r="K557" t="s">
        <v>24</v>
      </c>
      <c r="L557">
        <v>3</v>
      </c>
      <c r="M557">
        <v>3</v>
      </c>
      <c r="N557">
        <v>3</v>
      </c>
      <c r="O557">
        <v>2</v>
      </c>
      <c r="P557" t="s">
        <v>24</v>
      </c>
    </row>
    <row r="558" spans="1:16" x14ac:dyDescent="0.25">
      <c r="A558" t="s">
        <v>1010</v>
      </c>
      <c r="B558">
        <v>28</v>
      </c>
      <c r="C558" t="s">
        <v>26</v>
      </c>
      <c r="D558" t="s">
        <v>19</v>
      </c>
      <c r="E558" t="s">
        <v>20</v>
      </c>
      <c r="F558" t="s">
        <v>21</v>
      </c>
      <c r="G558" t="s">
        <v>489</v>
      </c>
      <c r="H558">
        <v>4</v>
      </c>
      <c r="I558">
        <v>10190</v>
      </c>
      <c r="J558">
        <v>10</v>
      </c>
      <c r="K558" t="s">
        <v>36</v>
      </c>
      <c r="L558">
        <v>1</v>
      </c>
      <c r="M558">
        <v>2</v>
      </c>
      <c r="N558">
        <v>3</v>
      </c>
      <c r="O558">
        <v>4</v>
      </c>
      <c r="P558" t="s">
        <v>36</v>
      </c>
    </row>
    <row r="559" spans="1:16" x14ac:dyDescent="0.25">
      <c r="A559" t="s">
        <v>1011</v>
      </c>
      <c r="B559">
        <v>25</v>
      </c>
      <c r="C559" t="s">
        <v>26</v>
      </c>
      <c r="D559" t="s">
        <v>19</v>
      </c>
      <c r="E559" t="s">
        <v>28</v>
      </c>
      <c r="F559" t="s">
        <v>59</v>
      </c>
      <c r="G559" t="s">
        <v>1012</v>
      </c>
      <c r="H559">
        <v>0</v>
      </c>
      <c r="I559">
        <v>6691</v>
      </c>
      <c r="J559">
        <v>7</v>
      </c>
      <c r="K559" t="s">
        <v>36</v>
      </c>
      <c r="L559">
        <v>4</v>
      </c>
      <c r="M559">
        <v>2</v>
      </c>
      <c r="N559">
        <v>3</v>
      </c>
      <c r="O559">
        <v>4</v>
      </c>
      <c r="P559" t="s">
        <v>24</v>
      </c>
    </row>
    <row r="560" spans="1:16" x14ac:dyDescent="0.25">
      <c r="A560" t="s">
        <v>1013</v>
      </c>
      <c r="B560">
        <v>36</v>
      </c>
      <c r="C560" t="s">
        <v>18</v>
      </c>
      <c r="D560" t="s">
        <v>19</v>
      </c>
      <c r="E560" t="s">
        <v>28</v>
      </c>
      <c r="F560" t="s">
        <v>34</v>
      </c>
      <c r="G560" t="s">
        <v>487</v>
      </c>
      <c r="H560">
        <v>4</v>
      </c>
      <c r="I560">
        <v>3288</v>
      </c>
      <c r="J560">
        <v>2</v>
      </c>
      <c r="K560" t="s">
        <v>24</v>
      </c>
      <c r="L560">
        <v>4</v>
      </c>
      <c r="M560">
        <v>1</v>
      </c>
      <c r="N560">
        <v>3</v>
      </c>
      <c r="O560">
        <v>0</v>
      </c>
      <c r="P560" t="s">
        <v>24</v>
      </c>
    </row>
    <row r="561" spans="1:16" x14ac:dyDescent="0.25">
      <c r="A561" t="s">
        <v>1014</v>
      </c>
      <c r="B561">
        <v>27</v>
      </c>
      <c r="C561" t="s">
        <v>26</v>
      </c>
      <c r="D561" t="s">
        <v>27</v>
      </c>
      <c r="E561" t="s">
        <v>28</v>
      </c>
      <c r="F561" t="s">
        <v>29</v>
      </c>
      <c r="G561" t="s">
        <v>1015</v>
      </c>
      <c r="H561">
        <v>0</v>
      </c>
      <c r="I561">
        <v>10866</v>
      </c>
      <c r="J561">
        <v>8</v>
      </c>
      <c r="K561" t="s">
        <v>24</v>
      </c>
      <c r="L561">
        <v>2</v>
      </c>
      <c r="M561">
        <v>1</v>
      </c>
      <c r="N561">
        <v>3</v>
      </c>
      <c r="O561">
        <v>5</v>
      </c>
      <c r="P561" t="s">
        <v>24</v>
      </c>
    </row>
    <row r="562" spans="1:16" x14ac:dyDescent="0.25">
      <c r="A562" t="s">
        <v>1016</v>
      </c>
      <c r="B562">
        <v>20</v>
      </c>
      <c r="C562" t="s">
        <v>26</v>
      </c>
      <c r="D562" t="s">
        <v>33</v>
      </c>
      <c r="E562" t="s">
        <v>20</v>
      </c>
      <c r="F562" t="s">
        <v>40</v>
      </c>
      <c r="G562" t="s">
        <v>1017</v>
      </c>
      <c r="H562">
        <v>0</v>
      </c>
      <c r="I562">
        <v>3788</v>
      </c>
      <c r="J562">
        <v>20</v>
      </c>
      <c r="K562" t="s">
        <v>36</v>
      </c>
      <c r="L562">
        <v>2</v>
      </c>
      <c r="M562">
        <v>3</v>
      </c>
      <c r="N562">
        <v>3</v>
      </c>
      <c r="O562">
        <v>5</v>
      </c>
      <c r="P562" t="s">
        <v>24</v>
      </c>
    </row>
    <row r="563" spans="1:16" x14ac:dyDescent="0.25">
      <c r="A563" t="s">
        <v>1018</v>
      </c>
      <c r="B563">
        <v>37</v>
      </c>
      <c r="C563" t="s">
        <v>26</v>
      </c>
      <c r="D563" t="s">
        <v>19</v>
      </c>
      <c r="E563" t="s">
        <v>28</v>
      </c>
      <c r="F563" t="s">
        <v>64</v>
      </c>
      <c r="G563" t="s">
        <v>1019</v>
      </c>
      <c r="H563">
        <v>4</v>
      </c>
      <c r="I563">
        <v>3712</v>
      </c>
      <c r="J563">
        <v>6</v>
      </c>
      <c r="K563" t="s">
        <v>24</v>
      </c>
      <c r="L563">
        <v>2</v>
      </c>
      <c r="M563">
        <v>4</v>
      </c>
      <c r="N563">
        <v>3</v>
      </c>
      <c r="O563">
        <v>0</v>
      </c>
      <c r="P563" t="s">
        <v>36</v>
      </c>
    </row>
    <row r="564" spans="1:16" x14ac:dyDescent="0.25">
      <c r="A564" t="s">
        <v>1020</v>
      </c>
      <c r="B564">
        <v>37</v>
      </c>
      <c r="C564" t="s">
        <v>26</v>
      </c>
      <c r="D564" t="s">
        <v>19</v>
      </c>
      <c r="E564" t="s">
        <v>20</v>
      </c>
      <c r="F564" t="s">
        <v>40</v>
      </c>
      <c r="G564" t="s">
        <v>1021</v>
      </c>
      <c r="H564">
        <v>7</v>
      </c>
      <c r="I564">
        <v>5594</v>
      </c>
      <c r="J564">
        <v>10</v>
      </c>
      <c r="K564" t="s">
        <v>24</v>
      </c>
      <c r="L564">
        <v>4</v>
      </c>
      <c r="M564">
        <v>1</v>
      </c>
      <c r="N564">
        <v>3</v>
      </c>
      <c r="O564">
        <v>1</v>
      </c>
      <c r="P564" t="s">
        <v>24</v>
      </c>
    </row>
    <row r="565" spans="1:16" x14ac:dyDescent="0.25">
      <c r="A565" t="s">
        <v>1022</v>
      </c>
      <c r="B565">
        <v>51</v>
      </c>
      <c r="C565" t="s">
        <v>26</v>
      </c>
      <c r="D565" t="s">
        <v>19</v>
      </c>
      <c r="E565" t="s">
        <v>20</v>
      </c>
      <c r="F565" t="s">
        <v>40</v>
      </c>
      <c r="G565" t="s">
        <v>1023</v>
      </c>
      <c r="H565">
        <v>1</v>
      </c>
      <c r="I565">
        <v>3674</v>
      </c>
      <c r="J565">
        <v>1</v>
      </c>
      <c r="K565" t="s">
        <v>24</v>
      </c>
      <c r="L565">
        <v>3</v>
      </c>
      <c r="M565">
        <v>3</v>
      </c>
      <c r="N565">
        <v>3</v>
      </c>
      <c r="O565">
        <v>4</v>
      </c>
      <c r="P565" t="s">
        <v>24</v>
      </c>
    </row>
    <row r="566" spans="1:16" x14ac:dyDescent="0.25">
      <c r="A566" t="s">
        <v>1024</v>
      </c>
      <c r="B566">
        <v>38</v>
      </c>
      <c r="C566" t="s">
        <v>26</v>
      </c>
      <c r="D566" t="s">
        <v>33</v>
      </c>
      <c r="E566" t="s">
        <v>20</v>
      </c>
      <c r="F566" t="s">
        <v>21</v>
      </c>
      <c r="G566" t="s">
        <v>1025</v>
      </c>
      <c r="H566">
        <v>7</v>
      </c>
      <c r="I566">
        <v>13032</v>
      </c>
      <c r="J566">
        <v>1</v>
      </c>
      <c r="K566" t="s">
        <v>36</v>
      </c>
      <c r="L566">
        <v>4</v>
      </c>
      <c r="M566">
        <v>4</v>
      </c>
      <c r="N566">
        <v>3</v>
      </c>
      <c r="O566">
        <v>2</v>
      </c>
      <c r="P566" t="s">
        <v>36</v>
      </c>
    </row>
    <row r="567" spans="1:16" x14ac:dyDescent="0.25">
      <c r="A567" t="s">
        <v>1026</v>
      </c>
      <c r="B567">
        <v>51</v>
      </c>
      <c r="C567" t="s">
        <v>18</v>
      </c>
      <c r="D567" t="s">
        <v>33</v>
      </c>
      <c r="E567" t="s">
        <v>20</v>
      </c>
      <c r="F567" t="s">
        <v>44</v>
      </c>
      <c r="G567" t="s">
        <v>1027</v>
      </c>
      <c r="H567">
        <v>0</v>
      </c>
      <c r="I567">
        <v>6161</v>
      </c>
      <c r="J567">
        <v>9</v>
      </c>
      <c r="K567" t="s">
        <v>24</v>
      </c>
      <c r="L567">
        <v>4</v>
      </c>
      <c r="M567">
        <v>4</v>
      </c>
      <c r="N567">
        <v>3</v>
      </c>
      <c r="O567">
        <v>3</v>
      </c>
      <c r="P567" t="s">
        <v>24</v>
      </c>
    </row>
    <row r="568" spans="1:16" x14ac:dyDescent="0.25">
      <c r="A568" t="s">
        <v>1028</v>
      </c>
      <c r="B568">
        <v>20</v>
      </c>
      <c r="C568" t="s">
        <v>18</v>
      </c>
      <c r="D568" t="s">
        <v>19</v>
      </c>
      <c r="E568" t="s">
        <v>20</v>
      </c>
      <c r="F568" t="s">
        <v>44</v>
      </c>
      <c r="G568" t="s">
        <v>1029</v>
      </c>
      <c r="H568">
        <v>3</v>
      </c>
      <c r="I568">
        <v>5963</v>
      </c>
      <c r="J568">
        <v>6</v>
      </c>
      <c r="K568" t="s">
        <v>24</v>
      </c>
      <c r="L568">
        <v>2</v>
      </c>
      <c r="M568">
        <v>4</v>
      </c>
      <c r="N568">
        <v>3</v>
      </c>
      <c r="O568">
        <v>0</v>
      </c>
      <c r="P568" t="s">
        <v>24</v>
      </c>
    </row>
    <row r="569" spans="1:16" x14ac:dyDescent="0.25">
      <c r="A569" t="s">
        <v>1030</v>
      </c>
      <c r="B569">
        <v>37</v>
      </c>
      <c r="C569" t="s">
        <v>26</v>
      </c>
      <c r="D569" t="s">
        <v>19</v>
      </c>
      <c r="E569" t="s">
        <v>28</v>
      </c>
      <c r="F569" t="s">
        <v>64</v>
      </c>
      <c r="G569" t="s">
        <v>1031</v>
      </c>
      <c r="H569">
        <v>17</v>
      </c>
      <c r="I569">
        <v>6579</v>
      </c>
      <c r="J569">
        <v>16</v>
      </c>
      <c r="K569" t="s">
        <v>24</v>
      </c>
      <c r="L569">
        <v>3</v>
      </c>
      <c r="M569">
        <v>3</v>
      </c>
      <c r="N569">
        <v>3</v>
      </c>
      <c r="O569">
        <v>3</v>
      </c>
      <c r="P569" t="s">
        <v>24</v>
      </c>
    </row>
    <row r="570" spans="1:16" x14ac:dyDescent="0.25">
      <c r="A570" t="s">
        <v>1032</v>
      </c>
      <c r="B570">
        <v>30</v>
      </c>
      <c r="C570" t="s">
        <v>26</v>
      </c>
      <c r="D570" t="s">
        <v>27</v>
      </c>
      <c r="E570" t="s">
        <v>28</v>
      </c>
      <c r="F570" t="s">
        <v>34</v>
      </c>
      <c r="G570" t="s">
        <v>1033</v>
      </c>
      <c r="H570">
        <v>0</v>
      </c>
      <c r="I570">
        <v>3650</v>
      </c>
      <c r="J570">
        <v>1</v>
      </c>
      <c r="K570" t="s">
        <v>24</v>
      </c>
      <c r="L570">
        <v>3</v>
      </c>
      <c r="M570">
        <v>1</v>
      </c>
      <c r="N570">
        <v>4</v>
      </c>
      <c r="O570">
        <v>3</v>
      </c>
      <c r="P570" t="s">
        <v>24</v>
      </c>
    </row>
    <row r="571" spans="1:16" x14ac:dyDescent="0.25">
      <c r="A571" t="s">
        <v>1034</v>
      </c>
      <c r="B571">
        <v>32</v>
      </c>
      <c r="C571" t="s">
        <v>26</v>
      </c>
      <c r="D571" t="s">
        <v>27</v>
      </c>
      <c r="E571" t="s">
        <v>20</v>
      </c>
      <c r="F571" t="s">
        <v>44</v>
      </c>
      <c r="G571" t="s">
        <v>1035</v>
      </c>
      <c r="H571">
        <v>10</v>
      </c>
      <c r="I571">
        <v>6870</v>
      </c>
      <c r="J571">
        <v>16</v>
      </c>
      <c r="K571" t="s">
        <v>24</v>
      </c>
      <c r="L571">
        <v>3</v>
      </c>
      <c r="M571">
        <v>3</v>
      </c>
      <c r="N571">
        <v>3</v>
      </c>
      <c r="O571">
        <v>4</v>
      </c>
      <c r="P571" t="s">
        <v>24</v>
      </c>
    </row>
    <row r="572" spans="1:16" x14ac:dyDescent="0.25">
      <c r="A572" t="s">
        <v>1036</v>
      </c>
      <c r="B572">
        <v>39</v>
      </c>
      <c r="C572" t="s">
        <v>26</v>
      </c>
      <c r="D572" t="s">
        <v>33</v>
      </c>
      <c r="E572" t="s">
        <v>20</v>
      </c>
      <c r="F572" t="s">
        <v>44</v>
      </c>
      <c r="G572" t="s">
        <v>1037</v>
      </c>
      <c r="H572">
        <v>9</v>
      </c>
      <c r="I572">
        <v>6941</v>
      </c>
      <c r="J572">
        <v>6</v>
      </c>
      <c r="K572" t="s">
        <v>24</v>
      </c>
      <c r="L572">
        <v>3</v>
      </c>
      <c r="M572">
        <v>3</v>
      </c>
      <c r="N572">
        <v>3</v>
      </c>
      <c r="O572">
        <v>4</v>
      </c>
      <c r="P572" t="s">
        <v>24</v>
      </c>
    </row>
    <row r="573" spans="1:16" x14ac:dyDescent="0.25">
      <c r="A573" t="s">
        <v>1038</v>
      </c>
      <c r="B573">
        <v>33</v>
      </c>
      <c r="C573" t="s">
        <v>18</v>
      </c>
      <c r="D573" t="s">
        <v>27</v>
      </c>
      <c r="E573" t="s">
        <v>110</v>
      </c>
      <c r="F573" t="s">
        <v>128</v>
      </c>
      <c r="G573" t="s">
        <v>183</v>
      </c>
      <c r="H573">
        <v>6</v>
      </c>
      <c r="I573">
        <v>13207</v>
      </c>
      <c r="J573">
        <v>4</v>
      </c>
      <c r="K573" t="s">
        <v>36</v>
      </c>
      <c r="L573">
        <v>3</v>
      </c>
      <c r="M573">
        <v>2</v>
      </c>
      <c r="N573">
        <v>4</v>
      </c>
      <c r="O573">
        <v>0</v>
      </c>
      <c r="P573" t="s">
        <v>24</v>
      </c>
    </row>
    <row r="574" spans="1:16" x14ac:dyDescent="0.25">
      <c r="A574" t="s">
        <v>1196</v>
      </c>
      <c r="B574">
        <v>35</v>
      </c>
      <c r="C574" t="s">
        <v>18</v>
      </c>
      <c r="D574" t="s">
        <v>33</v>
      </c>
      <c r="E574" t="s">
        <v>28</v>
      </c>
      <c r="F574" t="s">
        <v>64</v>
      </c>
      <c r="G574" t="s">
        <v>1197</v>
      </c>
      <c r="H574">
        <v>13</v>
      </c>
      <c r="I574">
        <v>5264</v>
      </c>
      <c r="J574">
        <v>22</v>
      </c>
      <c r="K574" t="s">
        <v>36</v>
      </c>
      <c r="L574">
        <v>3</v>
      </c>
      <c r="N574">
        <v>3</v>
      </c>
      <c r="O574">
        <v>5</v>
      </c>
      <c r="P574" t="s">
        <v>24</v>
      </c>
    </row>
    <row r="575" spans="1:16" x14ac:dyDescent="0.25">
      <c r="A575" t="s">
        <v>1039</v>
      </c>
      <c r="B575">
        <v>37</v>
      </c>
      <c r="C575" t="s">
        <v>18</v>
      </c>
      <c r="D575" t="s">
        <v>33</v>
      </c>
      <c r="E575" t="s">
        <v>28</v>
      </c>
      <c r="F575" t="s">
        <v>34</v>
      </c>
      <c r="G575" t="s">
        <v>1040</v>
      </c>
      <c r="H575">
        <v>0</v>
      </c>
      <c r="I575">
        <v>3802</v>
      </c>
      <c r="J575">
        <v>4</v>
      </c>
      <c r="K575" t="s">
        <v>24</v>
      </c>
      <c r="L575">
        <v>3</v>
      </c>
      <c r="M575">
        <v>3</v>
      </c>
      <c r="N575">
        <v>4</v>
      </c>
      <c r="O575">
        <v>0</v>
      </c>
      <c r="P575" t="s">
        <v>24</v>
      </c>
    </row>
    <row r="576" spans="1:16" x14ac:dyDescent="0.25">
      <c r="A576" t="s">
        <v>1041</v>
      </c>
      <c r="B576">
        <v>52</v>
      </c>
      <c r="C576" t="s">
        <v>26</v>
      </c>
      <c r="D576" t="s">
        <v>19</v>
      </c>
      <c r="E576" t="s">
        <v>110</v>
      </c>
      <c r="F576" t="s">
        <v>111</v>
      </c>
      <c r="G576" t="s">
        <v>1042</v>
      </c>
      <c r="H576">
        <v>1</v>
      </c>
      <c r="I576">
        <v>5091</v>
      </c>
      <c r="J576">
        <v>17</v>
      </c>
      <c r="K576" t="s">
        <v>24</v>
      </c>
      <c r="L576">
        <v>3</v>
      </c>
      <c r="M576">
        <v>3</v>
      </c>
      <c r="N576">
        <v>3</v>
      </c>
      <c r="O576">
        <v>2</v>
      </c>
      <c r="P576" t="s">
        <v>24</v>
      </c>
    </row>
    <row r="577" spans="1:16" x14ac:dyDescent="0.25">
      <c r="A577" t="s">
        <v>1043</v>
      </c>
      <c r="B577">
        <v>36</v>
      </c>
      <c r="C577" t="s">
        <v>26</v>
      </c>
      <c r="D577" t="s">
        <v>19</v>
      </c>
      <c r="E577" t="s">
        <v>110</v>
      </c>
      <c r="F577" t="s">
        <v>189</v>
      </c>
      <c r="G577" t="s">
        <v>348</v>
      </c>
      <c r="H577">
        <v>2</v>
      </c>
      <c r="I577">
        <v>4474</v>
      </c>
      <c r="J577">
        <v>5</v>
      </c>
      <c r="K577" t="s">
        <v>24</v>
      </c>
      <c r="L577">
        <v>3</v>
      </c>
      <c r="M577">
        <v>1</v>
      </c>
      <c r="N577">
        <v>4</v>
      </c>
      <c r="O577">
        <v>0</v>
      </c>
      <c r="P577" t="s">
        <v>24</v>
      </c>
    </row>
    <row r="578" spans="1:16" x14ac:dyDescent="0.25">
      <c r="A578" t="s">
        <v>1044</v>
      </c>
      <c r="B578">
        <v>46</v>
      </c>
      <c r="C578" t="s">
        <v>26</v>
      </c>
      <c r="D578" t="s">
        <v>33</v>
      </c>
      <c r="E578" t="s">
        <v>28</v>
      </c>
      <c r="F578" t="s">
        <v>64</v>
      </c>
      <c r="G578" t="s">
        <v>1045</v>
      </c>
      <c r="H578">
        <v>1</v>
      </c>
      <c r="I578">
        <v>6359</v>
      </c>
      <c r="J578">
        <v>17</v>
      </c>
      <c r="K578" t="s">
        <v>24</v>
      </c>
      <c r="L578">
        <v>3</v>
      </c>
      <c r="M578">
        <v>4</v>
      </c>
      <c r="N578">
        <v>3</v>
      </c>
      <c r="O578">
        <v>4</v>
      </c>
      <c r="P578" t="s">
        <v>24</v>
      </c>
    </row>
    <row r="579" spans="1:16" x14ac:dyDescent="0.25">
      <c r="A579" t="s">
        <v>1046</v>
      </c>
      <c r="B579">
        <v>28</v>
      </c>
      <c r="C579" t="s">
        <v>26</v>
      </c>
      <c r="D579" t="s">
        <v>19</v>
      </c>
      <c r="E579" t="s">
        <v>28</v>
      </c>
      <c r="F579" t="s">
        <v>64</v>
      </c>
      <c r="G579" t="s">
        <v>1047</v>
      </c>
      <c r="H579">
        <v>16</v>
      </c>
      <c r="I579">
        <v>7275</v>
      </c>
      <c r="J579">
        <v>14</v>
      </c>
      <c r="K579" t="s">
        <v>36</v>
      </c>
      <c r="L579">
        <v>2</v>
      </c>
      <c r="M579">
        <v>2</v>
      </c>
      <c r="N579">
        <v>3</v>
      </c>
      <c r="O579">
        <v>0</v>
      </c>
      <c r="P579" t="s">
        <v>24</v>
      </c>
    </row>
    <row r="580" spans="1:16" x14ac:dyDescent="0.25">
      <c r="A580" t="s">
        <v>1048</v>
      </c>
      <c r="B580">
        <v>27</v>
      </c>
      <c r="C580" t="s">
        <v>26</v>
      </c>
      <c r="D580" t="s">
        <v>19</v>
      </c>
      <c r="E580" t="s">
        <v>20</v>
      </c>
      <c r="F580" t="s">
        <v>44</v>
      </c>
      <c r="G580" t="s">
        <v>1049</v>
      </c>
      <c r="H580">
        <v>0</v>
      </c>
      <c r="I580">
        <v>6106</v>
      </c>
      <c r="J580">
        <v>3</v>
      </c>
      <c r="K580" t="s">
        <v>24</v>
      </c>
      <c r="L580">
        <v>3</v>
      </c>
      <c r="M580">
        <v>4</v>
      </c>
      <c r="N580">
        <v>3</v>
      </c>
      <c r="O580">
        <v>5</v>
      </c>
      <c r="P580" t="s">
        <v>24</v>
      </c>
    </row>
    <row r="581" spans="1:16" x14ac:dyDescent="0.25">
      <c r="A581" t="s">
        <v>1050</v>
      </c>
      <c r="B581">
        <v>51</v>
      </c>
      <c r="C581" t="s">
        <v>18</v>
      </c>
      <c r="D581" t="s">
        <v>19</v>
      </c>
      <c r="E581" t="s">
        <v>110</v>
      </c>
      <c r="F581" t="s">
        <v>128</v>
      </c>
      <c r="G581" t="s">
        <v>1051</v>
      </c>
      <c r="H581">
        <v>2</v>
      </c>
      <c r="I581">
        <v>9071</v>
      </c>
      <c r="J581">
        <v>5</v>
      </c>
      <c r="K581" t="s">
        <v>24</v>
      </c>
      <c r="L581">
        <v>4</v>
      </c>
      <c r="M581">
        <v>4</v>
      </c>
      <c r="N581">
        <v>3</v>
      </c>
      <c r="O581">
        <v>5</v>
      </c>
      <c r="P581" t="s">
        <v>24</v>
      </c>
    </row>
    <row r="582" spans="1:16" x14ac:dyDescent="0.25">
      <c r="A582" t="s">
        <v>1052</v>
      </c>
      <c r="B582">
        <v>34</v>
      </c>
      <c r="C582" t="s">
        <v>18</v>
      </c>
      <c r="D582" t="s">
        <v>33</v>
      </c>
      <c r="E582" t="s">
        <v>28</v>
      </c>
      <c r="F582" t="s">
        <v>59</v>
      </c>
      <c r="G582" t="s">
        <v>1053</v>
      </c>
      <c r="H582">
        <v>10</v>
      </c>
      <c r="I582">
        <v>6756</v>
      </c>
      <c r="J582">
        <v>6</v>
      </c>
      <c r="K582" t="s">
        <v>24</v>
      </c>
      <c r="L582">
        <v>1</v>
      </c>
      <c r="M582">
        <v>3</v>
      </c>
      <c r="N582">
        <v>3</v>
      </c>
      <c r="O582">
        <v>4</v>
      </c>
      <c r="P582" t="s">
        <v>24</v>
      </c>
    </row>
    <row r="583" spans="1:16" x14ac:dyDescent="0.25">
      <c r="A583" t="s">
        <v>1198</v>
      </c>
      <c r="B583">
        <v>36</v>
      </c>
      <c r="C583" t="s">
        <v>18</v>
      </c>
      <c r="D583" t="s">
        <v>33</v>
      </c>
      <c r="E583" t="s">
        <v>28</v>
      </c>
      <c r="F583" t="s">
        <v>59</v>
      </c>
      <c r="G583" t="s">
        <v>1199</v>
      </c>
      <c r="H583">
        <v>2</v>
      </c>
      <c r="I583">
        <v>5708</v>
      </c>
      <c r="J583">
        <v>30</v>
      </c>
      <c r="K583" t="s">
        <v>36</v>
      </c>
      <c r="L583">
        <v>2</v>
      </c>
      <c r="N583">
        <v>3</v>
      </c>
      <c r="O583">
        <v>5</v>
      </c>
      <c r="P583" t="s">
        <v>24</v>
      </c>
    </row>
    <row r="584" spans="1:16" x14ac:dyDescent="0.25">
      <c r="A584" t="s">
        <v>1054</v>
      </c>
      <c r="B584">
        <v>20</v>
      </c>
      <c r="C584" t="s">
        <v>26</v>
      </c>
      <c r="D584" t="s">
        <v>33</v>
      </c>
      <c r="E584" t="s">
        <v>28</v>
      </c>
      <c r="F584" t="s">
        <v>64</v>
      </c>
      <c r="G584" t="s">
        <v>1055</v>
      </c>
      <c r="H584">
        <v>2</v>
      </c>
      <c r="I584">
        <v>4820</v>
      </c>
      <c r="J584">
        <v>15</v>
      </c>
      <c r="K584" t="s">
        <v>24</v>
      </c>
      <c r="L584">
        <v>4</v>
      </c>
      <c r="M584">
        <v>3</v>
      </c>
      <c r="N584">
        <v>3</v>
      </c>
      <c r="O584">
        <v>2</v>
      </c>
      <c r="P584" t="s">
        <v>24</v>
      </c>
    </row>
    <row r="585" spans="1:16" x14ac:dyDescent="0.25">
      <c r="A585" t="s">
        <v>1056</v>
      </c>
      <c r="B585">
        <v>32</v>
      </c>
      <c r="C585" t="s">
        <v>18</v>
      </c>
      <c r="D585" t="s">
        <v>19</v>
      </c>
      <c r="E585" t="s">
        <v>20</v>
      </c>
      <c r="F585" t="s">
        <v>40</v>
      </c>
      <c r="G585" t="s">
        <v>60</v>
      </c>
      <c r="H585">
        <v>5</v>
      </c>
      <c r="I585">
        <v>3674</v>
      </c>
      <c r="J585">
        <v>30</v>
      </c>
      <c r="K585" t="s">
        <v>24</v>
      </c>
      <c r="L585">
        <v>3</v>
      </c>
      <c r="M585">
        <v>4</v>
      </c>
      <c r="N585">
        <v>3</v>
      </c>
      <c r="O585">
        <v>0</v>
      </c>
      <c r="P585" t="s">
        <v>24</v>
      </c>
    </row>
    <row r="586" spans="1:16" x14ac:dyDescent="0.25">
      <c r="A586" t="s">
        <v>1057</v>
      </c>
      <c r="B586">
        <v>30</v>
      </c>
      <c r="C586" t="s">
        <v>26</v>
      </c>
      <c r="D586" t="s">
        <v>19</v>
      </c>
      <c r="E586" t="s">
        <v>1123</v>
      </c>
      <c r="F586" t="s">
        <v>40</v>
      </c>
      <c r="G586" t="s">
        <v>1058</v>
      </c>
      <c r="H586">
        <v>3</v>
      </c>
      <c r="I586">
        <v>3607</v>
      </c>
      <c r="J586">
        <v>20</v>
      </c>
      <c r="K586" t="s">
        <v>24</v>
      </c>
      <c r="L586">
        <v>2</v>
      </c>
      <c r="M586">
        <v>2</v>
      </c>
      <c r="N586">
        <v>3</v>
      </c>
      <c r="O586">
        <v>1</v>
      </c>
      <c r="P586" t="s">
        <v>24</v>
      </c>
    </row>
    <row r="587" spans="1:16" x14ac:dyDescent="0.25">
      <c r="A587" t="s">
        <v>1059</v>
      </c>
      <c r="B587">
        <v>31</v>
      </c>
      <c r="C587" t="s">
        <v>18</v>
      </c>
      <c r="D587" t="s">
        <v>19</v>
      </c>
      <c r="E587" t="s">
        <v>20</v>
      </c>
      <c r="F587" t="s">
        <v>40</v>
      </c>
      <c r="G587" t="s">
        <v>1060</v>
      </c>
      <c r="H587">
        <v>2</v>
      </c>
      <c r="I587">
        <v>4497</v>
      </c>
      <c r="J587">
        <v>10</v>
      </c>
      <c r="K587" t="s">
        <v>24</v>
      </c>
      <c r="L587">
        <v>2</v>
      </c>
      <c r="M587">
        <v>3</v>
      </c>
      <c r="N587">
        <v>3</v>
      </c>
      <c r="O587">
        <v>3</v>
      </c>
      <c r="P587" t="s">
        <v>24</v>
      </c>
    </row>
    <row r="588" spans="1:16" x14ac:dyDescent="0.25">
      <c r="A588" t="s">
        <v>1061</v>
      </c>
      <c r="B588">
        <v>39</v>
      </c>
      <c r="C588" t="s">
        <v>26</v>
      </c>
      <c r="D588" t="s">
        <v>19</v>
      </c>
      <c r="E588" t="s">
        <v>28</v>
      </c>
      <c r="F588" t="s">
        <v>34</v>
      </c>
      <c r="G588" t="s">
        <v>1062</v>
      </c>
      <c r="H588">
        <v>0</v>
      </c>
      <c r="I588">
        <v>3414</v>
      </c>
      <c r="J588">
        <v>1</v>
      </c>
      <c r="K588" t="s">
        <v>24</v>
      </c>
      <c r="L588">
        <v>3</v>
      </c>
      <c r="M588">
        <v>2</v>
      </c>
      <c r="N588">
        <v>3</v>
      </c>
      <c r="O588">
        <v>5</v>
      </c>
      <c r="P588" t="s">
        <v>24</v>
      </c>
    </row>
    <row r="589" spans="1:16" x14ac:dyDescent="0.25">
      <c r="A589" t="s">
        <v>1063</v>
      </c>
      <c r="B589">
        <v>32</v>
      </c>
      <c r="C589" t="s">
        <v>26</v>
      </c>
      <c r="D589" t="s">
        <v>19</v>
      </c>
      <c r="E589" t="s">
        <v>28</v>
      </c>
      <c r="F589" t="s">
        <v>64</v>
      </c>
      <c r="G589" t="s">
        <v>1064</v>
      </c>
      <c r="H589">
        <v>0</v>
      </c>
      <c r="I589">
        <v>5749</v>
      </c>
      <c r="J589">
        <v>1</v>
      </c>
      <c r="K589" t="s">
        <v>36</v>
      </c>
      <c r="L589">
        <v>1</v>
      </c>
      <c r="M589">
        <v>2</v>
      </c>
      <c r="N589">
        <v>3</v>
      </c>
      <c r="O589">
        <v>0</v>
      </c>
      <c r="P589" t="s">
        <v>36</v>
      </c>
    </row>
    <row r="590" spans="1:16" x14ac:dyDescent="0.25">
      <c r="A590" t="s">
        <v>1065</v>
      </c>
      <c r="B590">
        <v>38</v>
      </c>
      <c r="C590" t="s">
        <v>18</v>
      </c>
      <c r="D590" t="s">
        <v>19</v>
      </c>
      <c r="E590" t="s">
        <v>28</v>
      </c>
      <c r="F590" t="s">
        <v>64</v>
      </c>
      <c r="G590" t="s">
        <v>131</v>
      </c>
      <c r="H590">
        <v>6</v>
      </c>
      <c r="I590">
        <v>6280</v>
      </c>
      <c r="J590">
        <v>8</v>
      </c>
      <c r="K590" t="s">
        <v>24</v>
      </c>
      <c r="L590">
        <v>1</v>
      </c>
      <c r="M590">
        <v>4</v>
      </c>
      <c r="N590">
        <v>3</v>
      </c>
      <c r="O590">
        <v>5</v>
      </c>
      <c r="P590" t="s">
        <v>36</v>
      </c>
    </row>
    <row r="591" spans="1:16" x14ac:dyDescent="0.25">
      <c r="A591" t="s">
        <v>1066</v>
      </c>
      <c r="B591">
        <v>34</v>
      </c>
      <c r="C591" t="s">
        <v>26</v>
      </c>
      <c r="D591" t="s">
        <v>33</v>
      </c>
      <c r="E591" t="s">
        <v>20</v>
      </c>
      <c r="F591" t="s">
        <v>44</v>
      </c>
      <c r="G591" t="s">
        <v>1067</v>
      </c>
      <c r="H591">
        <v>5</v>
      </c>
      <c r="I591">
        <v>5344</v>
      </c>
      <c r="J591">
        <v>6</v>
      </c>
      <c r="K591" t="s">
        <v>24</v>
      </c>
      <c r="L591">
        <v>4</v>
      </c>
      <c r="M591">
        <v>1</v>
      </c>
      <c r="N591">
        <v>4</v>
      </c>
      <c r="O591">
        <v>0</v>
      </c>
      <c r="P591" t="s">
        <v>24</v>
      </c>
    </row>
    <row r="592" spans="1:16" x14ac:dyDescent="0.25">
      <c r="A592" t="s">
        <v>1068</v>
      </c>
      <c r="B592">
        <v>23</v>
      </c>
      <c r="C592" t="s">
        <v>26</v>
      </c>
      <c r="D592" t="s">
        <v>33</v>
      </c>
      <c r="E592" t="s">
        <v>20</v>
      </c>
      <c r="F592" t="s">
        <v>21</v>
      </c>
      <c r="G592" t="s">
        <v>1069</v>
      </c>
      <c r="H592">
        <v>3</v>
      </c>
      <c r="I592">
        <v>13203</v>
      </c>
      <c r="J592">
        <v>6</v>
      </c>
      <c r="K592" t="s">
        <v>36</v>
      </c>
      <c r="L592">
        <v>1</v>
      </c>
      <c r="M592">
        <v>2</v>
      </c>
      <c r="N592">
        <v>3</v>
      </c>
      <c r="O592">
        <v>4</v>
      </c>
      <c r="P592" t="s">
        <v>36</v>
      </c>
    </row>
    <row r="593" spans="1:16" x14ac:dyDescent="0.25">
      <c r="A593" t="s">
        <v>1070</v>
      </c>
      <c r="B593">
        <v>38</v>
      </c>
      <c r="C593" t="s">
        <v>18</v>
      </c>
      <c r="D593" t="s">
        <v>19</v>
      </c>
      <c r="E593" t="s">
        <v>28</v>
      </c>
      <c r="F593" t="s">
        <v>64</v>
      </c>
      <c r="G593" t="s">
        <v>1071</v>
      </c>
      <c r="H593">
        <v>11</v>
      </c>
      <c r="I593">
        <v>6420</v>
      </c>
      <c r="J593">
        <v>14</v>
      </c>
      <c r="K593" t="s">
        <v>24</v>
      </c>
      <c r="L593">
        <v>4</v>
      </c>
      <c r="M593">
        <v>3</v>
      </c>
      <c r="N593">
        <v>3</v>
      </c>
      <c r="O593">
        <v>4</v>
      </c>
      <c r="P593" t="s">
        <v>36</v>
      </c>
    </row>
    <row r="594" spans="1:16" x14ac:dyDescent="0.25">
      <c r="A594" t="s">
        <v>1072</v>
      </c>
      <c r="B594">
        <v>42</v>
      </c>
      <c r="C594" t="s">
        <v>26</v>
      </c>
      <c r="D594" t="s">
        <v>19</v>
      </c>
      <c r="E594" t="s">
        <v>28</v>
      </c>
      <c r="F594" t="s">
        <v>34</v>
      </c>
      <c r="G594" t="s">
        <v>548</v>
      </c>
      <c r="H594">
        <v>1</v>
      </c>
      <c r="I594">
        <v>2351</v>
      </c>
      <c r="J594">
        <v>13</v>
      </c>
      <c r="K594" t="s">
        <v>36</v>
      </c>
      <c r="L594">
        <v>1</v>
      </c>
      <c r="M594">
        <v>3</v>
      </c>
      <c r="N594">
        <v>4</v>
      </c>
      <c r="O594">
        <v>1</v>
      </c>
      <c r="P594" t="s">
        <v>36</v>
      </c>
    </row>
    <row r="595" spans="1:16" x14ac:dyDescent="0.25">
      <c r="A595" t="s">
        <v>1073</v>
      </c>
      <c r="B595">
        <v>28</v>
      </c>
      <c r="C595" t="s">
        <v>18</v>
      </c>
      <c r="D595" t="s">
        <v>33</v>
      </c>
      <c r="E595" t="s">
        <v>28</v>
      </c>
      <c r="F595" t="s">
        <v>34</v>
      </c>
      <c r="G595" t="s">
        <v>1074</v>
      </c>
      <c r="H595">
        <v>6</v>
      </c>
      <c r="I595">
        <v>3667</v>
      </c>
      <c r="J595">
        <v>1</v>
      </c>
      <c r="K595" t="s">
        <v>24</v>
      </c>
      <c r="L595">
        <v>2</v>
      </c>
      <c r="M595">
        <v>3</v>
      </c>
      <c r="N595">
        <v>3</v>
      </c>
      <c r="O595">
        <v>2</v>
      </c>
      <c r="P595" t="s">
        <v>24</v>
      </c>
    </row>
    <row r="596" spans="1:16" x14ac:dyDescent="0.25">
      <c r="A596" t="s">
        <v>1075</v>
      </c>
      <c r="B596">
        <v>33</v>
      </c>
      <c r="C596" t="s">
        <v>26</v>
      </c>
      <c r="D596" t="s">
        <v>27</v>
      </c>
      <c r="E596" t="s">
        <v>20</v>
      </c>
      <c r="F596" t="s">
        <v>21</v>
      </c>
      <c r="G596" t="s">
        <v>1076</v>
      </c>
      <c r="H596">
        <v>3</v>
      </c>
      <c r="I596">
        <v>9102</v>
      </c>
      <c r="J596">
        <v>19</v>
      </c>
      <c r="K596" t="s">
        <v>36</v>
      </c>
      <c r="L596">
        <v>3</v>
      </c>
      <c r="M596">
        <v>2</v>
      </c>
      <c r="N596">
        <v>3</v>
      </c>
      <c r="O596">
        <v>1</v>
      </c>
      <c r="P596" t="s">
        <v>36</v>
      </c>
    </row>
    <row r="597" spans="1:16" x14ac:dyDescent="0.25">
      <c r="A597" t="s">
        <v>1077</v>
      </c>
      <c r="B597">
        <v>28</v>
      </c>
      <c r="C597" t="s">
        <v>26</v>
      </c>
      <c r="D597" t="s">
        <v>33</v>
      </c>
      <c r="E597" t="s">
        <v>20</v>
      </c>
      <c r="F597" t="s">
        <v>40</v>
      </c>
      <c r="G597" t="s">
        <v>1078</v>
      </c>
      <c r="H597">
        <v>14</v>
      </c>
      <c r="I597">
        <v>4571</v>
      </c>
      <c r="J597">
        <v>12</v>
      </c>
      <c r="K597" t="s">
        <v>24</v>
      </c>
      <c r="L597">
        <v>3</v>
      </c>
      <c r="M597">
        <v>3</v>
      </c>
      <c r="N597">
        <v>3</v>
      </c>
      <c r="O597">
        <v>1</v>
      </c>
      <c r="P597" t="s">
        <v>24</v>
      </c>
    </row>
    <row r="598" spans="1:16" x14ac:dyDescent="0.25">
      <c r="A598" t="s">
        <v>1079</v>
      </c>
      <c r="B598">
        <v>41</v>
      </c>
      <c r="C598" t="s">
        <v>18</v>
      </c>
      <c r="D598" t="s">
        <v>33</v>
      </c>
      <c r="E598" t="s">
        <v>28</v>
      </c>
      <c r="F598" t="s">
        <v>34</v>
      </c>
      <c r="G598" t="s">
        <v>1080</v>
      </c>
      <c r="H598">
        <v>12</v>
      </c>
      <c r="I598">
        <v>3894</v>
      </c>
      <c r="J598">
        <v>2</v>
      </c>
      <c r="K598" t="s">
        <v>24</v>
      </c>
      <c r="L598">
        <v>4</v>
      </c>
      <c r="M598">
        <v>2</v>
      </c>
      <c r="N598">
        <v>3</v>
      </c>
      <c r="O598">
        <v>5</v>
      </c>
      <c r="P598" t="s">
        <v>36</v>
      </c>
    </row>
    <row r="599" spans="1:16" x14ac:dyDescent="0.25">
      <c r="A599" t="s">
        <v>1081</v>
      </c>
      <c r="B599">
        <v>33</v>
      </c>
      <c r="C599" t="s">
        <v>18</v>
      </c>
      <c r="D599" t="s">
        <v>27</v>
      </c>
      <c r="E599" t="s">
        <v>20</v>
      </c>
      <c r="F599" t="s">
        <v>40</v>
      </c>
      <c r="G599" t="s">
        <v>1082</v>
      </c>
      <c r="H599">
        <v>6</v>
      </c>
      <c r="I599">
        <v>3843</v>
      </c>
      <c r="J599">
        <v>8</v>
      </c>
      <c r="K599" t="s">
        <v>36</v>
      </c>
      <c r="L599">
        <v>4</v>
      </c>
      <c r="M599">
        <v>3</v>
      </c>
      <c r="N599">
        <v>3</v>
      </c>
      <c r="O599">
        <v>3</v>
      </c>
      <c r="P599" t="s">
        <v>36</v>
      </c>
    </row>
    <row r="600" spans="1:16" x14ac:dyDescent="0.25">
      <c r="A600" t="s">
        <v>1083</v>
      </c>
      <c r="B600">
        <v>35</v>
      </c>
      <c r="C600" t="s">
        <v>18</v>
      </c>
      <c r="D600" t="s">
        <v>19</v>
      </c>
      <c r="E600" t="s">
        <v>28</v>
      </c>
      <c r="F600" t="s">
        <v>29</v>
      </c>
      <c r="G600" t="s">
        <v>1084</v>
      </c>
      <c r="H600">
        <v>0</v>
      </c>
      <c r="I600">
        <v>11957</v>
      </c>
      <c r="J600">
        <v>3</v>
      </c>
      <c r="K600" t="s">
        <v>36</v>
      </c>
      <c r="L600">
        <v>3</v>
      </c>
      <c r="M600">
        <v>2</v>
      </c>
      <c r="N600">
        <v>3</v>
      </c>
      <c r="O600">
        <v>1</v>
      </c>
      <c r="P600" t="s">
        <v>24</v>
      </c>
    </row>
    <row r="601" spans="1:16" x14ac:dyDescent="0.25">
      <c r="A601" t="s">
        <v>1085</v>
      </c>
      <c r="B601">
        <v>44</v>
      </c>
      <c r="C601" t="s">
        <v>26</v>
      </c>
      <c r="D601" t="s">
        <v>19</v>
      </c>
      <c r="E601" t="s">
        <v>20</v>
      </c>
      <c r="F601" t="s">
        <v>40</v>
      </c>
      <c r="G601" t="s">
        <v>1086</v>
      </c>
      <c r="H601">
        <v>0</v>
      </c>
      <c r="I601">
        <v>3666</v>
      </c>
      <c r="J601">
        <v>3</v>
      </c>
      <c r="K601" t="s">
        <v>36</v>
      </c>
      <c r="L601">
        <v>4</v>
      </c>
      <c r="M601">
        <v>4</v>
      </c>
      <c r="N601">
        <v>3</v>
      </c>
      <c r="O601">
        <v>1</v>
      </c>
      <c r="P601" t="s">
        <v>24</v>
      </c>
    </row>
    <row r="602" spans="1:16" x14ac:dyDescent="0.25">
      <c r="A602" t="s">
        <v>1087</v>
      </c>
      <c r="B602">
        <v>34</v>
      </c>
      <c r="C602" t="s">
        <v>18</v>
      </c>
      <c r="D602" t="s">
        <v>33</v>
      </c>
      <c r="E602" t="s">
        <v>28</v>
      </c>
      <c r="F602" t="s">
        <v>29</v>
      </c>
      <c r="G602" t="s">
        <v>1088</v>
      </c>
      <c r="H602">
        <v>5</v>
      </c>
      <c r="I602">
        <v>14905</v>
      </c>
      <c r="J602">
        <v>26</v>
      </c>
      <c r="K602" t="s">
        <v>24</v>
      </c>
      <c r="L602">
        <v>4</v>
      </c>
      <c r="M602">
        <v>4</v>
      </c>
      <c r="N602">
        <v>3</v>
      </c>
      <c r="O602">
        <v>1</v>
      </c>
      <c r="P602" t="s">
        <v>24</v>
      </c>
    </row>
    <row r="603" spans="1:16" x14ac:dyDescent="0.25">
      <c r="A603" t="s">
        <v>1089</v>
      </c>
      <c r="B603">
        <v>36</v>
      </c>
      <c r="C603" t="s">
        <v>18</v>
      </c>
      <c r="D603" t="s">
        <v>33</v>
      </c>
      <c r="E603" t="s">
        <v>1133</v>
      </c>
      <c r="F603" t="s">
        <v>21</v>
      </c>
      <c r="G603" t="s">
        <v>1090</v>
      </c>
      <c r="H603">
        <v>4</v>
      </c>
      <c r="I603">
        <v>15926</v>
      </c>
      <c r="J603">
        <v>1</v>
      </c>
      <c r="K603" t="s">
        <v>24</v>
      </c>
      <c r="L603">
        <v>3</v>
      </c>
      <c r="M603">
        <v>2</v>
      </c>
      <c r="N603">
        <v>4</v>
      </c>
      <c r="O603">
        <v>4</v>
      </c>
      <c r="P603" t="s">
        <v>24</v>
      </c>
    </row>
    <row r="604" spans="1:16" x14ac:dyDescent="0.25">
      <c r="A604" t="s">
        <v>1091</v>
      </c>
      <c r="B604">
        <v>38</v>
      </c>
      <c r="C604" t="s">
        <v>18</v>
      </c>
      <c r="D604" t="s">
        <v>27</v>
      </c>
      <c r="E604" t="s">
        <v>28</v>
      </c>
      <c r="F604" t="s">
        <v>64</v>
      </c>
      <c r="G604" t="s">
        <v>466</v>
      </c>
      <c r="H604">
        <v>0</v>
      </c>
      <c r="I604">
        <v>5252</v>
      </c>
      <c r="J604">
        <v>3</v>
      </c>
      <c r="K604" t="s">
        <v>24</v>
      </c>
      <c r="L604">
        <v>1</v>
      </c>
      <c r="M604">
        <v>4</v>
      </c>
      <c r="N604">
        <v>3</v>
      </c>
      <c r="O604">
        <v>3</v>
      </c>
      <c r="P604" t="s">
        <v>36</v>
      </c>
    </row>
    <row r="605" spans="1:16" x14ac:dyDescent="0.25">
      <c r="A605" t="s">
        <v>1092</v>
      </c>
      <c r="B605">
        <v>32</v>
      </c>
      <c r="C605" t="s">
        <v>18</v>
      </c>
      <c r="D605" t="s">
        <v>33</v>
      </c>
      <c r="E605" t="s">
        <v>28</v>
      </c>
      <c r="F605" t="s">
        <v>64</v>
      </c>
      <c r="G605" t="s">
        <v>1093</v>
      </c>
      <c r="H605">
        <v>6</v>
      </c>
      <c r="I605">
        <v>6401</v>
      </c>
      <c r="J605">
        <v>2</v>
      </c>
      <c r="K605" t="s">
        <v>24</v>
      </c>
      <c r="L605">
        <v>4</v>
      </c>
      <c r="M605">
        <v>4</v>
      </c>
      <c r="N605">
        <v>3</v>
      </c>
      <c r="O605">
        <v>1</v>
      </c>
      <c r="P605" t="s">
        <v>24</v>
      </c>
    </row>
    <row r="606" spans="1:16" x14ac:dyDescent="0.25">
      <c r="A606" t="s">
        <v>1094</v>
      </c>
      <c r="B606">
        <v>32</v>
      </c>
      <c r="C606" t="s">
        <v>26</v>
      </c>
      <c r="D606" t="s">
        <v>19</v>
      </c>
      <c r="E606" t="s">
        <v>20</v>
      </c>
      <c r="F606" t="s">
        <v>21</v>
      </c>
      <c r="G606" t="s">
        <v>1095</v>
      </c>
      <c r="H606">
        <v>2</v>
      </c>
      <c r="I606">
        <v>12971</v>
      </c>
      <c r="J606">
        <v>1</v>
      </c>
      <c r="K606" t="s">
        <v>36</v>
      </c>
      <c r="L606">
        <v>2</v>
      </c>
      <c r="M606">
        <v>2</v>
      </c>
      <c r="N606">
        <v>3</v>
      </c>
      <c r="O606">
        <v>0</v>
      </c>
      <c r="P606" t="s">
        <v>36</v>
      </c>
    </row>
    <row r="607" spans="1:16" x14ac:dyDescent="0.25">
      <c r="A607" t="s">
        <v>1096</v>
      </c>
      <c r="B607">
        <v>32</v>
      </c>
      <c r="C607" t="s">
        <v>18</v>
      </c>
      <c r="D607" t="s">
        <v>33</v>
      </c>
      <c r="E607" t="s">
        <v>28</v>
      </c>
      <c r="F607" t="s">
        <v>34</v>
      </c>
      <c r="G607" t="s">
        <v>1097</v>
      </c>
      <c r="H607">
        <v>3</v>
      </c>
      <c r="I607">
        <v>2875</v>
      </c>
      <c r="J607">
        <v>2</v>
      </c>
      <c r="K607" t="s">
        <v>36</v>
      </c>
      <c r="L607">
        <v>2</v>
      </c>
      <c r="M607">
        <v>1</v>
      </c>
      <c r="N607">
        <v>3</v>
      </c>
      <c r="O607">
        <v>0</v>
      </c>
      <c r="P607" t="s">
        <v>24</v>
      </c>
    </row>
    <row r="608" spans="1:16" x14ac:dyDescent="0.25">
      <c r="A608" t="s">
        <v>1098</v>
      </c>
      <c r="B608">
        <v>35</v>
      </c>
      <c r="C608" t="s">
        <v>18</v>
      </c>
      <c r="D608" t="s">
        <v>33</v>
      </c>
      <c r="E608" t="s">
        <v>20</v>
      </c>
      <c r="F608" t="s">
        <v>40</v>
      </c>
      <c r="G608" t="s">
        <v>679</v>
      </c>
      <c r="H608">
        <v>6</v>
      </c>
      <c r="I608">
        <v>3133</v>
      </c>
      <c r="J608">
        <v>7</v>
      </c>
      <c r="K608" t="s">
        <v>24</v>
      </c>
      <c r="L608">
        <v>4</v>
      </c>
      <c r="M608">
        <v>2</v>
      </c>
      <c r="N608">
        <v>4</v>
      </c>
      <c r="O608">
        <v>2</v>
      </c>
      <c r="P608" t="s">
        <v>36</v>
      </c>
    </row>
    <row r="609" spans="1:16" x14ac:dyDescent="0.25">
      <c r="A609" t="s">
        <v>1099</v>
      </c>
      <c r="B609">
        <v>28</v>
      </c>
      <c r="C609" t="s">
        <v>18</v>
      </c>
      <c r="D609" t="s">
        <v>19</v>
      </c>
      <c r="E609" t="s">
        <v>20</v>
      </c>
      <c r="F609" t="s">
        <v>44</v>
      </c>
      <c r="G609" t="s">
        <v>1100</v>
      </c>
      <c r="H609">
        <v>8</v>
      </c>
      <c r="I609">
        <v>6988</v>
      </c>
      <c r="J609">
        <v>18</v>
      </c>
      <c r="K609" t="s">
        <v>24</v>
      </c>
      <c r="L609">
        <v>3</v>
      </c>
      <c r="M609">
        <v>3</v>
      </c>
      <c r="N609">
        <v>3</v>
      </c>
      <c r="O609">
        <v>0</v>
      </c>
      <c r="P609"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2"/>
  <sheetViews>
    <sheetView zoomScaleNormal="100" workbookViewId="0">
      <pane ySplit="1" topLeftCell="A2" activePane="bottomLeft" state="frozen"/>
      <selection pane="bottomLeft" sqref="A1:A1048576"/>
    </sheetView>
  </sheetViews>
  <sheetFormatPr defaultColWidth="8.7109375" defaultRowHeight="15" x14ac:dyDescent="0.25"/>
  <cols>
    <col min="1" max="1" width="13.140625" bestFit="1" customWidth="1"/>
    <col min="2" max="2" width="4.85546875" bestFit="1" customWidth="1"/>
    <col min="3" max="3" width="12" customWidth="1"/>
    <col min="4" max="4" width="14.42578125" bestFit="1" customWidth="1"/>
    <col min="5" max="5" width="25.5703125" bestFit="1" customWidth="1"/>
    <col min="6" max="6" width="23.28515625" bestFit="1" customWidth="1"/>
    <col min="7" max="7" width="11.5703125" bestFit="1" customWidth="1"/>
    <col min="8" max="8" width="18.42578125" bestFit="1" customWidth="1"/>
    <col min="9" max="9" width="13.85546875" bestFit="1" customWidth="1"/>
    <col min="10" max="10" width="16.42578125" bestFit="1" customWidth="1"/>
    <col min="11" max="11" width="25.28515625" bestFit="1" customWidth="1"/>
    <col min="12" max="12" width="11.140625" bestFit="1" customWidth="1"/>
    <col min="13" max="13" width="22.42578125" bestFit="1" customWidth="1"/>
    <col min="14" max="14" width="24" bestFit="1" customWidth="1"/>
    <col min="15" max="15" width="26.5703125" bestFit="1" customWidth="1"/>
    <col min="16" max="16" width="28.28515625" bestFit="1" customWidth="1"/>
    <col min="17" max="17" width="12"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434</v>
      </c>
      <c r="B2" s="2">
        <v>20</v>
      </c>
      <c r="C2" s="2" t="s">
        <v>18</v>
      </c>
      <c r="D2" s="2" t="s">
        <v>19</v>
      </c>
      <c r="E2" s="2" t="s">
        <v>20</v>
      </c>
      <c r="F2" s="2" t="s">
        <v>21</v>
      </c>
      <c r="G2" s="2" t="s">
        <v>22</v>
      </c>
      <c r="H2" s="2">
        <v>0</v>
      </c>
      <c r="I2" s="2" t="s">
        <v>23</v>
      </c>
      <c r="J2" s="2">
        <v>14306</v>
      </c>
      <c r="K2" s="2">
        <v>10</v>
      </c>
      <c r="L2" s="2" t="s">
        <v>24</v>
      </c>
      <c r="M2" s="2">
        <v>3</v>
      </c>
      <c r="N2" s="2">
        <v>4</v>
      </c>
      <c r="O2" s="2">
        <v>4</v>
      </c>
      <c r="P2" s="2">
        <v>3</v>
      </c>
      <c r="Q2" s="2" t="s">
        <v>24</v>
      </c>
    </row>
    <row r="3" spans="1:17" x14ac:dyDescent="0.25">
      <c r="A3" s="2" t="s">
        <v>795</v>
      </c>
      <c r="B3" s="2">
        <v>27</v>
      </c>
      <c r="C3" s="2" t="s">
        <v>26</v>
      </c>
      <c r="D3" s="2" t="s">
        <v>27</v>
      </c>
      <c r="E3" s="2" t="s">
        <v>28</v>
      </c>
      <c r="F3" s="2" t="s">
        <v>29</v>
      </c>
      <c r="G3" s="2" t="s">
        <v>30</v>
      </c>
      <c r="H3" s="2">
        <v>6</v>
      </c>
      <c r="I3" s="2" t="s">
        <v>31</v>
      </c>
      <c r="J3" s="2">
        <v>12621</v>
      </c>
      <c r="K3" s="2">
        <v>15</v>
      </c>
      <c r="L3" s="2" t="s">
        <v>24</v>
      </c>
      <c r="M3" s="2">
        <v>4</v>
      </c>
      <c r="N3" s="2">
        <v>4</v>
      </c>
      <c r="O3" s="2">
        <v>4</v>
      </c>
      <c r="P3" s="2">
        <v>3</v>
      </c>
      <c r="Q3" s="2" t="s">
        <v>24</v>
      </c>
    </row>
    <row r="4" spans="1:17" x14ac:dyDescent="0.25">
      <c r="A4" s="2" t="s">
        <v>162</v>
      </c>
      <c r="B4" s="2">
        <v>41</v>
      </c>
      <c r="C4" s="2" t="s">
        <v>18</v>
      </c>
      <c r="D4" s="2" t="s">
        <v>33</v>
      </c>
      <c r="E4" s="2" t="s">
        <v>28</v>
      </c>
      <c r="F4" s="2" t="s">
        <v>34</v>
      </c>
      <c r="G4" s="2" t="s">
        <v>35</v>
      </c>
      <c r="H4" s="2">
        <v>0</v>
      </c>
      <c r="I4" s="2" t="s">
        <v>23</v>
      </c>
      <c r="J4" s="2">
        <v>3321</v>
      </c>
      <c r="K4" s="2">
        <v>1</v>
      </c>
      <c r="L4" s="2" t="s">
        <v>36</v>
      </c>
      <c r="M4" s="2">
        <v>4</v>
      </c>
      <c r="N4" s="2">
        <v>4</v>
      </c>
      <c r="O4" s="2">
        <v>3</v>
      </c>
      <c r="P4" s="2">
        <v>1</v>
      </c>
      <c r="Q4" s="2" t="s">
        <v>24</v>
      </c>
    </row>
    <row r="5" spans="1:17" x14ac:dyDescent="0.25">
      <c r="A5" s="2" t="s">
        <v>453</v>
      </c>
      <c r="B5" s="2">
        <v>35</v>
      </c>
      <c r="C5" s="2" t="s">
        <v>18</v>
      </c>
      <c r="D5" s="2" t="s">
        <v>33</v>
      </c>
      <c r="E5" s="2" t="s">
        <v>28</v>
      </c>
      <c r="F5" s="2" t="s">
        <v>29</v>
      </c>
      <c r="G5" s="2" t="s">
        <v>38</v>
      </c>
      <c r="H5" s="2">
        <v>2</v>
      </c>
      <c r="I5" s="2" t="s">
        <v>23</v>
      </c>
      <c r="J5" s="2">
        <v>12188</v>
      </c>
      <c r="K5" s="2">
        <v>1</v>
      </c>
      <c r="L5" s="2" t="s">
        <v>24</v>
      </c>
      <c r="M5" s="2">
        <v>4</v>
      </c>
      <c r="N5" s="2">
        <v>4</v>
      </c>
      <c r="O5" s="2">
        <v>4</v>
      </c>
      <c r="P5" s="2">
        <v>2</v>
      </c>
      <c r="Q5" s="2" t="s">
        <v>24</v>
      </c>
    </row>
    <row r="6" spans="1:17" x14ac:dyDescent="0.25">
      <c r="A6" s="2" t="s">
        <v>921</v>
      </c>
      <c r="B6" s="2">
        <v>32</v>
      </c>
      <c r="C6" s="2" t="s">
        <v>18</v>
      </c>
      <c r="D6" s="2" t="s">
        <v>33</v>
      </c>
      <c r="E6" s="2" t="s">
        <v>20</v>
      </c>
      <c r="F6" s="2" t="s">
        <v>40</v>
      </c>
      <c r="G6" s="2" t="s">
        <v>41</v>
      </c>
      <c r="H6" s="2">
        <v>4</v>
      </c>
      <c r="I6" s="2" t="s">
        <v>42</v>
      </c>
      <c r="J6" s="2">
        <v>3326</v>
      </c>
      <c r="K6" s="2">
        <v>9</v>
      </c>
      <c r="L6" s="2" t="s">
        <v>36</v>
      </c>
      <c r="M6" s="2">
        <v>3</v>
      </c>
      <c r="N6" s="2">
        <v>3</v>
      </c>
      <c r="O6" s="2">
        <v>3</v>
      </c>
      <c r="P6" s="2">
        <v>2</v>
      </c>
      <c r="Q6" s="2" t="s">
        <v>36</v>
      </c>
    </row>
    <row r="7" spans="1:17" x14ac:dyDescent="0.25">
      <c r="A7" s="2" t="s">
        <v>1061</v>
      </c>
      <c r="B7" s="2">
        <v>41</v>
      </c>
      <c r="C7" s="2" t="s">
        <v>18</v>
      </c>
      <c r="D7" s="2" t="s">
        <v>33</v>
      </c>
      <c r="E7" s="2" t="s">
        <v>20</v>
      </c>
      <c r="F7" s="2" t="s">
        <v>44</v>
      </c>
      <c r="G7" s="2" t="s">
        <v>45</v>
      </c>
      <c r="H7" s="2">
        <v>0</v>
      </c>
      <c r="I7" s="2" t="s">
        <v>23</v>
      </c>
      <c r="J7" s="2">
        <v>7359</v>
      </c>
      <c r="K7" s="2">
        <v>1</v>
      </c>
      <c r="L7" s="2" t="s">
        <v>24</v>
      </c>
      <c r="M7" s="2">
        <v>3</v>
      </c>
      <c r="N7" s="2">
        <v>4</v>
      </c>
      <c r="O7" s="2">
        <v>3</v>
      </c>
      <c r="P7" s="2">
        <v>4</v>
      </c>
      <c r="Q7" s="2" t="s">
        <v>36</v>
      </c>
    </row>
    <row r="8" spans="1:17" x14ac:dyDescent="0.25">
      <c r="A8" s="2" t="s">
        <v>772</v>
      </c>
      <c r="B8" s="2">
        <v>46</v>
      </c>
      <c r="C8" s="2" t="s">
        <v>26</v>
      </c>
      <c r="D8" s="2" t="s">
        <v>33</v>
      </c>
      <c r="E8" s="2" t="s">
        <v>20</v>
      </c>
      <c r="F8" s="2" t="s">
        <v>21</v>
      </c>
      <c r="G8" s="2" t="s">
        <v>47</v>
      </c>
      <c r="H8" s="2">
        <v>3</v>
      </c>
      <c r="I8" s="2" t="s">
        <v>42</v>
      </c>
      <c r="J8" s="2">
        <v>10993</v>
      </c>
      <c r="K8" s="2">
        <v>9</v>
      </c>
      <c r="L8" s="2" t="s">
        <v>36</v>
      </c>
      <c r="M8" s="2">
        <v>4</v>
      </c>
      <c r="N8" s="2">
        <v>3</v>
      </c>
      <c r="O8" s="2">
        <v>3</v>
      </c>
      <c r="P8" s="2">
        <v>4</v>
      </c>
      <c r="Q8" s="2" t="s">
        <v>24</v>
      </c>
    </row>
    <row r="9" spans="1:17" x14ac:dyDescent="0.25">
      <c r="A9" s="2" t="s">
        <v>750</v>
      </c>
      <c r="B9" s="2">
        <v>38</v>
      </c>
      <c r="C9" s="2" t="s">
        <v>26</v>
      </c>
      <c r="D9" s="2" t="s">
        <v>33</v>
      </c>
      <c r="E9" s="2" t="s">
        <v>20</v>
      </c>
      <c r="F9" s="2" t="s">
        <v>44</v>
      </c>
      <c r="G9" s="2" t="s">
        <v>49</v>
      </c>
      <c r="H9" s="2">
        <v>0</v>
      </c>
      <c r="I9" s="2" t="s">
        <v>23</v>
      </c>
      <c r="J9" s="2">
        <v>6979</v>
      </c>
      <c r="K9" s="2">
        <v>17</v>
      </c>
      <c r="L9" s="2" t="s">
        <v>24</v>
      </c>
      <c r="M9" s="2">
        <v>3</v>
      </c>
      <c r="N9" s="2">
        <v>1</v>
      </c>
      <c r="O9" s="2">
        <v>3</v>
      </c>
      <c r="P9" s="2">
        <v>0</v>
      </c>
      <c r="Q9" s="2" t="s">
        <v>24</v>
      </c>
    </row>
    <row r="10" spans="1:17" x14ac:dyDescent="0.25">
      <c r="A10" s="2" t="s">
        <v>279</v>
      </c>
      <c r="B10" s="2">
        <v>29</v>
      </c>
      <c r="C10" s="2" t="s">
        <v>26</v>
      </c>
      <c r="D10" s="2" t="s">
        <v>33</v>
      </c>
      <c r="E10" s="2" t="s">
        <v>28</v>
      </c>
      <c r="F10" s="2" t="s">
        <v>29</v>
      </c>
      <c r="G10" s="2" t="s">
        <v>51</v>
      </c>
      <c r="H10" s="2">
        <v>4</v>
      </c>
      <c r="I10" s="2" t="s">
        <v>42</v>
      </c>
      <c r="J10" s="2">
        <v>12571</v>
      </c>
      <c r="K10" s="2">
        <v>30</v>
      </c>
      <c r="L10" s="2" t="s">
        <v>24</v>
      </c>
      <c r="M10" s="2">
        <v>3</v>
      </c>
      <c r="N10" s="2">
        <v>3</v>
      </c>
      <c r="O10" s="2">
        <v>4</v>
      </c>
      <c r="P10" s="2">
        <v>4</v>
      </c>
      <c r="Q10" s="2" t="s">
        <v>24</v>
      </c>
    </row>
    <row r="11" spans="1:17" x14ac:dyDescent="0.25">
      <c r="A11" s="2" t="s">
        <v>738</v>
      </c>
      <c r="B11" s="2">
        <v>41</v>
      </c>
      <c r="C11" s="2" t="s">
        <v>18</v>
      </c>
      <c r="D11" s="2" t="s">
        <v>33</v>
      </c>
      <c r="E11" s="2" t="s">
        <v>28</v>
      </c>
      <c r="F11" s="2" t="s">
        <v>29</v>
      </c>
      <c r="G11" s="2" t="s">
        <v>53</v>
      </c>
      <c r="H11" s="2">
        <v>0</v>
      </c>
      <c r="I11" s="2" t="s">
        <v>23</v>
      </c>
      <c r="J11" s="2">
        <v>13374</v>
      </c>
      <c r="K11" s="2">
        <v>13</v>
      </c>
      <c r="L11" s="2" t="s">
        <v>36</v>
      </c>
      <c r="M11" s="2">
        <v>2</v>
      </c>
      <c r="N11" s="2">
        <v>1</v>
      </c>
      <c r="O11" s="2">
        <v>3</v>
      </c>
      <c r="P11" s="2">
        <v>3</v>
      </c>
      <c r="Q11" s="2" t="s">
        <v>36</v>
      </c>
    </row>
    <row r="12" spans="1:17" x14ac:dyDescent="0.25">
      <c r="A12" s="2" t="s">
        <v>940</v>
      </c>
      <c r="B12" s="2">
        <v>22</v>
      </c>
      <c r="C12" s="2" t="s">
        <v>26</v>
      </c>
      <c r="D12" s="2" t="s">
        <v>19</v>
      </c>
      <c r="E12" s="2" t="s">
        <v>28</v>
      </c>
      <c r="F12" s="2" t="s">
        <v>29</v>
      </c>
      <c r="G12" s="2" t="s">
        <v>55</v>
      </c>
      <c r="H12" s="2">
        <v>8</v>
      </c>
      <c r="I12" s="2" t="s">
        <v>31</v>
      </c>
      <c r="J12" s="2">
        <v>14236</v>
      </c>
      <c r="K12" s="2">
        <v>7</v>
      </c>
      <c r="L12" s="2" t="s">
        <v>24</v>
      </c>
      <c r="M12" s="2">
        <v>3</v>
      </c>
      <c r="N12" s="2">
        <v>1</v>
      </c>
      <c r="O12" s="2">
        <v>3</v>
      </c>
      <c r="P12" s="2">
        <v>3</v>
      </c>
      <c r="Q12" s="2" t="s">
        <v>24</v>
      </c>
    </row>
    <row r="13" spans="1:17" x14ac:dyDescent="0.25">
      <c r="A13" s="2" t="s">
        <v>158</v>
      </c>
      <c r="B13" s="2">
        <v>48</v>
      </c>
      <c r="C13" s="2" t="s">
        <v>26</v>
      </c>
      <c r="D13" s="2" t="s">
        <v>33</v>
      </c>
      <c r="E13" s="2" t="s">
        <v>28</v>
      </c>
      <c r="F13" s="2" t="s">
        <v>34</v>
      </c>
      <c r="G13" s="2" t="s">
        <v>57</v>
      </c>
      <c r="H13" s="2">
        <v>1</v>
      </c>
      <c r="I13" s="2" t="s">
        <v>23</v>
      </c>
      <c r="J13" s="2">
        <v>2620</v>
      </c>
      <c r="K13" s="2">
        <v>3</v>
      </c>
      <c r="L13" s="2" t="s">
        <v>36</v>
      </c>
      <c r="M13" s="2">
        <v>3</v>
      </c>
      <c r="N13" s="2">
        <v>4</v>
      </c>
      <c r="O13" s="2">
        <v>3</v>
      </c>
      <c r="P13" s="2">
        <v>5</v>
      </c>
      <c r="Q13" s="2" t="s">
        <v>24</v>
      </c>
    </row>
    <row r="14" spans="1:17" x14ac:dyDescent="0.25">
      <c r="A14" s="2" t="s">
        <v>488</v>
      </c>
      <c r="B14" s="2">
        <v>32</v>
      </c>
      <c r="C14" s="2" t="s">
        <v>26</v>
      </c>
      <c r="D14" s="2" t="s">
        <v>19</v>
      </c>
      <c r="E14" s="2" t="s">
        <v>28</v>
      </c>
      <c r="F14" s="2" t="s">
        <v>59</v>
      </c>
      <c r="G14" s="2" t="s">
        <v>60</v>
      </c>
      <c r="H14" s="2">
        <v>5</v>
      </c>
      <c r="I14" s="2" t="s">
        <v>42</v>
      </c>
      <c r="J14" s="2">
        <v>4499</v>
      </c>
      <c r="K14" s="2">
        <v>3</v>
      </c>
      <c r="L14" s="2" t="s">
        <v>24</v>
      </c>
      <c r="M14" s="2">
        <v>2</v>
      </c>
      <c r="N14" s="2">
        <v>3</v>
      </c>
      <c r="O14" s="2">
        <v>3</v>
      </c>
      <c r="P14" s="2">
        <v>1</v>
      </c>
      <c r="Q14" s="2" t="s">
        <v>24</v>
      </c>
    </row>
    <row r="15" spans="1:17" x14ac:dyDescent="0.25">
      <c r="A15" s="2" t="s">
        <v>594</v>
      </c>
      <c r="B15" s="2">
        <v>28</v>
      </c>
      <c r="C15" s="2" t="s">
        <v>26</v>
      </c>
      <c r="D15" s="2" t="s">
        <v>33</v>
      </c>
      <c r="E15" s="2" t="s">
        <v>20</v>
      </c>
      <c r="F15" s="2" t="s">
        <v>44</v>
      </c>
      <c r="G15" s="2" t="s">
        <v>62</v>
      </c>
      <c r="H15" s="2">
        <v>1</v>
      </c>
      <c r="I15" s="2" t="s">
        <v>23</v>
      </c>
      <c r="J15" s="2">
        <v>5997</v>
      </c>
      <c r="K15" s="2">
        <v>2</v>
      </c>
      <c r="L15" s="2" t="s">
        <v>24</v>
      </c>
      <c r="M15" s="2">
        <v>3</v>
      </c>
      <c r="N15" s="2">
        <v>2</v>
      </c>
      <c r="O15" s="2">
        <v>3</v>
      </c>
      <c r="P15" s="2">
        <v>4</v>
      </c>
      <c r="Q15" s="2" t="s">
        <v>24</v>
      </c>
    </row>
    <row r="16" spans="1:17" x14ac:dyDescent="0.25">
      <c r="A16" s="2" t="s">
        <v>613</v>
      </c>
      <c r="B16" s="2">
        <v>33</v>
      </c>
      <c r="C16" s="2" t="s">
        <v>18</v>
      </c>
      <c r="D16" s="2" t="s">
        <v>19</v>
      </c>
      <c r="E16" s="2" t="s">
        <v>28</v>
      </c>
      <c r="F16" s="2" t="s">
        <v>64</v>
      </c>
      <c r="G16" s="2" t="s">
        <v>65</v>
      </c>
      <c r="H16" s="2">
        <v>6</v>
      </c>
      <c r="I16" s="2" t="s">
        <v>31</v>
      </c>
      <c r="J16" s="2">
        <v>6166</v>
      </c>
      <c r="K16" s="2">
        <v>1</v>
      </c>
      <c r="L16" s="2" t="s">
        <v>36</v>
      </c>
      <c r="M16" s="2">
        <v>2</v>
      </c>
      <c r="N16" s="2">
        <v>3</v>
      </c>
      <c r="O16" s="2">
        <v>4</v>
      </c>
      <c r="P16" s="2">
        <v>4</v>
      </c>
      <c r="Q16" s="2" t="s">
        <v>36</v>
      </c>
    </row>
    <row r="17" spans="1:17" x14ac:dyDescent="0.25">
      <c r="A17" s="2" t="s">
        <v>923</v>
      </c>
      <c r="B17" s="2">
        <v>22</v>
      </c>
      <c r="C17" s="2" t="s">
        <v>26</v>
      </c>
      <c r="D17" s="2" t="s">
        <v>19</v>
      </c>
      <c r="E17" s="2" t="s">
        <v>20</v>
      </c>
      <c r="F17" s="2" t="s">
        <v>44</v>
      </c>
      <c r="G17" s="2" t="s">
        <v>67</v>
      </c>
      <c r="H17" s="2">
        <v>1</v>
      </c>
      <c r="I17" s="2" t="s">
        <v>23</v>
      </c>
      <c r="J17" s="2">
        <v>7213</v>
      </c>
      <c r="K17" s="2">
        <v>1</v>
      </c>
      <c r="L17" s="2" t="s">
        <v>24</v>
      </c>
      <c r="M17" s="2">
        <v>1</v>
      </c>
      <c r="N17" s="2">
        <v>4</v>
      </c>
      <c r="O17" s="2">
        <v>3</v>
      </c>
      <c r="P17" s="2">
        <v>1</v>
      </c>
      <c r="Q17" s="2" t="s">
        <v>24</v>
      </c>
    </row>
    <row r="18" spans="1:17" x14ac:dyDescent="0.25">
      <c r="A18" s="2" t="s">
        <v>637</v>
      </c>
      <c r="B18" s="2">
        <v>54</v>
      </c>
      <c r="C18" s="2" t="s">
        <v>18</v>
      </c>
      <c r="D18" s="2" t="s">
        <v>33</v>
      </c>
      <c r="E18" s="2" t="s">
        <v>28</v>
      </c>
      <c r="F18" s="2" t="s">
        <v>64</v>
      </c>
      <c r="G18" s="2" t="s">
        <v>69</v>
      </c>
      <c r="H18" s="2">
        <v>9</v>
      </c>
      <c r="I18" s="2" t="s">
        <v>31</v>
      </c>
      <c r="J18" s="2">
        <v>5315</v>
      </c>
      <c r="K18" s="2">
        <v>8</v>
      </c>
      <c r="L18" s="2" t="s">
        <v>24</v>
      </c>
      <c r="M18" s="2">
        <v>4</v>
      </c>
      <c r="N18" s="2">
        <v>3</v>
      </c>
      <c r="O18" s="2">
        <v>3</v>
      </c>
      <c r="P18" s="2">
        <v>3</v>
      </c>
      <c r="Q18" s="2" t="s">
        <v>24</v>
      </c>
    </row>
    <row r="19" spans="1:17" x14ac:dyDescent="0.25">
      <c r="A19" s="2" t="s">
        <v>1002</v>
      </c>
      <c r="B19" s="2">
        <v>31</v>
      </c>
      <c r="C19" s="2" t="s">
        <v>26</v>
      </c>
      <c r="D19" s="2" t="s">
        <v>33</v>
      </c>
      <c r="E19" s="2" t="s">
        <v>20</v>
      </c>
      <c r="F19" s="2" t="s">
        <v>21</v>
      </c>
      <c r="G19" s="2" t="s">
        <v>71</v>
      </c>
      <c r="H19" s="2">
        <v>2</v>
      </c>
      <c r="I19" s="2" t="s">
        <v>23</v>
      </c>
      <c r="J19" s="2">
        <v>8024</v>
      </c>
      <c r="K19" s="2">
        <v>13</v>
      </c>
      <c r="L19" s="2" t="s">
        <v>24</v>
      </c>
      <c r="M19" s="2">
        <v>4</v>
      </c>
      <c r="N19" s="2">
        <v>2</v>
      </c>
      <c r="O19" s="2">
        <v>3</v>
      </c>
      <c r="P19" s="2">
        <v>5</v>
      </c>
      <c r="Q19" s="2" t="s">
        <v>24</v>
      </c>
    </row>
    <row r="20" spans="1:17" x14ac:dyDescent="0.25">
      <c r="A20" s="2" t="s">
        <v>428</v>
      </c>
      <c r="B20" s="2">
        <v>28</v>
      </c>
      <c r="C20" s="2" t="s">
        <v>18</v>
      </c>
      <c r="D20" s="2" t="s">
        <v>33</v>
      </c>
      <c r="E20" s="2" t="s">
        <v>20</v>
      </c>
      <c r="F20" s="2" t="s">
        <v>44</v>
      </c>
      <c r="G20" s="2" t="s">
        <v>73</v>
      </c>
      <c r="H20" s="2">
        <v>3</v>
      </c>
      <c r="I20" s="2" t="s">
        <v>42</v>
      </c>
      <c r="J20" s="2">
        <v>5137</v>
      </c>
      <c r="K20" s="2">
        <v>4</v>
      </c>
      <c r="L20" s="2" t="s">
        <v>36</v>
      </c>
      <c r="M20" s="2">
        <v>3</v>
      </c>
      <c r="N20" s="2">
        <v>2</v>
      </c>
      <c r="O20" s="2">
        <v>3</v>
      </c>
      <c r="P20" s="2">
        <v>1</v>
      </c>
      <c r="Q20" s="2" t="s">
        <v>36</v>
      </c>
    </row>
    <row r="21" spans="1:17" x14ac:dyDescent="0.25">
      <c r="A21" s="2" t="s">
        <v>988</v>
      </c>
      <c r="B21" s="2">
        <v>31</v>
      </c>
      <c r="C21" s="2" t="s">
        <v>26</v>
      </c>
      <c r="D21" s="2" t="s">
        <v>33</v>
      </c>
      <c r="E21" s="2" t="s">
        <v>28</v>
      </c>
      <c r="F21" s="2" t="s">
        <v>29</v>
      </c>
      <c r="G21" s="2" t="s">
        <v>75</v>
      </c>
      <c r="H21" s="2">
        <v>1</v>
      </c>
      <c r="I21" s="2" t="s">
        <v>23</v>
      </c>
      <c r="J21" s="2">
        <v>12628</v>
      </c>
      <c r="K21" s="2">
        <v>5</v>
      </c>
      <c r="L21" s="2" t="s">
        <v>24</v>
      </c>
      <c r="M21" s="2">
        <v>2</v>
      </c>
      <c r="N21" s="2">
        <v>4</v>
      </c>
      <c r="O21" s="2">
        <v>4</v>
      </c>
      <c r="P21" s="2">
        <v>5</v>
      </c>
      <c r="Q21" s="2" t="s">
        <v>24</v>
      </c>
    </row>
    <row r="22" spans="1:17" x14ac:dyDescent="0.25">
      <c r="A22" s="2" t="s">
        <v>191</v>
      </c>
      <c r="B22" s="2">
        <v>50</v>
      </c>
      <c r="C22" s="2" t="s">
        <v>18</v>
      </c>
      <c r="D22" s="2" t="s">
        <v>33</v>
      </c>
      <c r="E22" s="2" t="s">
        <v>28</v>
      </c>
      <c r="F22" s="2" t="s">
        <v>64</v>
      </c>
      <c r="G22" s="2" t="s">
        <v>77</v>
      </c>
      <c r="H22" s="2">
        <v>4</v>
      </c>
      <c r="I22" s="2" t="s">
        <v>42</v>
      </c>
      <c r="J22" s="2">
        <v>5929</v>
      </c>
      <c r="K22" s="2">
        <v>6</v>
      </c>
      <c r="L22" s="2" t="s">
        <v>24</v>
      </c>
      <c r="M22" s="2">
        <v>3</v>
      </c>
      <c r="N22" s="2">
        <v>3</v>
      </c>
      <c r="O22" s="2">
        <v>3</v>
      </c>
      <c r="P22" s="2">
        <v>0</v>
      </c>
      <c r="Q22" s="2" t="s">
        <v>24</v>
      </c>
    </row>
    <row r="23" spans="1:17" x14ac:dyDescent="0.25">
      <c r="A23" s="2" t="s">
        <v>269</v>
      </c>
      <c r="B23" s="2">
        <v>28</v>
      </c>
      <c r="C23" s="2" t="s">
        <v>18</v>
      </c>
      <c r="D23" s="2" t="s">
        <v>19</v>
      </c>
      <c r="E23" s="2" t="s">
        <v>28</v>
      </c>
      <c r="F23" s="2" t="s">
        <v>64</v>
      </c>
      <c r="G23" s="2" t="s">
        <v>79</v>
      </c>
      <c r="H23" s="2">
        <v>5</v>
      </c>
      <c r="I23" s="2" t="s">
        <v>42</v>
      </c>
      <c r="J23" s="2">
        <v>5839</v>
      </c>
      <c r="K23" s="2">
        <v>20</v>
      </c>
      <c r="L23" s="2" t="s">
        <v>24</v>
      </c>
      <c r="M23" s="2">
        <v>1</v>
      </c>
      <c r="N23" s="2">
        <v>4</v>
      </c>
      <c r="O23" s="2">
        <v>3</v>
      </c>
      <c r="P23" s="2">
        <v>0</v>
      </c>
      <c r="Q23" s="2" t="s">
        <v>24</v>
      </c>
    </row>
    <row r="24" spans="1:17" x14ac:dyDescent="0.25">
      <c r="A24" s="2" t="s">
        <v>697</v>
      </c>
      <c r="B24" s="2">
        <v>28</v>
      </c>
      <c r="C24" s="2" t="s">
        <v>18</v>
      </c>
      <c r="D24" s="2" t="s">
        <v>19</v>
      </c>
      <c r="E24" s="2" t="s">
        <v>28</v>
      </c>
      <c r="F24" s="2" t="s">
        <v>29</v>
      </c>
      <c r="G24" s="2" t="s">
        <v>81</v>
      </c>
      <c r="H24" s="2">
        <v>1</v>
      </c>
      <c r="I24" s="2" t="s">
        <v>23</v>
      </c>
      <c r="J24" s="2">
        <v>10600</v>
      </c>
      <c r="K24" s="2">
        <v>3</v>
      </c>
      <c r="L24" s="2" t="s">
        <v>36</v>
      </c>
      <c r="M24" s="2">
        <v>3</v>
      </c>
      <c r="N24" s="2">
        <v>2</v>
      </c>
      <c r="O24" s="2">
        <v>3</v>
      </c>
      <c r="P24" s="2">
        <v>1</v>
      </c>
      <c r="Q24" s="2" t="s">
        <v>36</v>
      </c>
    </row>
    <row r="25" spans="1:17" x14ac:dyDescent="0.25">
      <c r="A25" s="2" t="s">
        <v>289</v>
      </c>
      <c r="B25" s="2">
        <v>37</v>
      </c>
      <c r="C25" s="2" t="s">
        <v>26</v>
      </c>
      <c r="D25" s="2" t="s">
        <v>19</v>
      </c>
      <c r="E25" s="2" t="s">
        <v>28</v>
      </c>
      <c r="F25" s="2" t="s">
        <v>29</v>
      </c>
      <c r="G25" s="2" t="s">
        <v>83</v>
      </c>
      <c r="H25" s="2">
        <v>9</v>
      </c>
      <c r="I25" s="2" t="s">
        <v>31</v>
      </c>
      <c r="J25" s="2">
        <v>10698</v>
      </c>
      <c r="K25" s="2">
        <v>6</v>
      </c>
      <c r="L25" s="2" t="s">
        <v>36</v>
      </c>
      <c r="M25" s="2">
        <v>2</v>
      </c>
      <c r="N25" s="2">
        <v>2</v>
      </c>
      <c r="O25" s="2">
        <v>3</v>
      </c>
      <c r="P25" s="2">
        <v>1</v>
      </c>
      <c r="Q25" s="2" t="s">
        <v>24</v>
      </c>
    </row>
    <row r="26" spans="1:17" x14ac:dyDescent="0.25">
      <c r="A26" s="2" t="s">
        <v>775</v>
      </c>
      <c r="B26" s="2">
        <v>20</v>
      </c>
      <c r="C26" s="2" t="s">
        <v>18</v>
      </c>
      <c r="D26" s="2" t="s">
        <v>19</v>
      </c>
      <c r="E26" s="2" t="s">
        <v>20</v>
      </c>
      <c r="F26" s="2" t="s">
        <v>40</v>
      </c>
      <c r="G26" s="2" t="s">
        <v>85</v>
      </c>
      <c r="H26" s="2">
        <v>8</v>
      </c>
      <c r="I26" s="2" t="s">
        <v>31</v>
      </c>
      <c r="J26" s="2">
        <v>3998</v>
      </c>
      <c r="K26" s="2">
        <v>5</v>
      </c>
      <c r="L26" s="2" t="s">
        <v>24</v>
      </c>
      <c r="M26" s="2">
        <v>1</v>
      </c>
      <c r="N26" s="2">
        <v>2</v>
      </c>
      <c r="O26" s="2">
        <v>3</v>
      </c>
      <c r="P26" s="2">
        <v>4</v>
      </c>
      <c r="Q26" s="2" t="s">
        <v>36</v>
      </c>
    </row>
    <row r="27" spans="1:17" x14ac:dyDescent="0.25">
      <c r="A27" s="2" t="s">
        <v>515</v>
      </c>
      <c r="B27" s="2">
        <v>27</v>
      </c>
      <c r="C27" s="2" t="s">
        <v>18</v>
      </c>
      <c r="D27" s="2" t="s">
        <v>19</v>
      </c>
      <c r="E27" s="2" t="s">
        <v>20</v>
      </c>
      <c r="F27" s="2" t="s">
        <v>44</v>
      </c>
      <c r="G27" s="2" t="s">
        <v>87</v>
      </c>
      <c r="H27" s="2">
        <v>1</v>
      </c>
      <c r="I27" s="2" t="s">
        <v>23</v>
      </c>
      <c r="J27" s="2">
        <v>6716</v>
      </c>
      <c r="K27" s="2">
        <v>4</v>
      </c>
      <c r="L27" s="2" t="s">
        <v>24</v>
      </c>
      <c r="M27" s="2">
        <v>2</v>
      </c>
      <c r="N27" s="2">
        <v>4</v>
      </c>
      <c r="O27" s="2">
        <v>3</v>
      </c>
      <c r="P27" s="2">
        <v>5</v>
      </c>
      <c r="Q27" s="2" t="s">
        <v>36</v>
      </c>
    </row>
    <row r="28" spans="1:17" x14ac:dyDescent="0.25">
      <c r="A28" s="2" t="s">
        <v>945</v>
      </c>
      <c r="B28" s="2">
        <v>28</v>
      </c>
      <c r="C28" s="2" t="s">
        <v>18</v>
      </c>
      <c r="D28" s="2" t="s">
        <v>19</v>
      </c>
      <c r="E28" s="2" t="s">
        <v>28</v>
      </c>
      <c r="F28" s="2" t="s">
        <v>34</v>
      </c>
      <c r="G28" s="2" t="s">
        <v>89</v>
      </c>
      <c r="H28" s="2">
        <v>5</v>
      </c>
      <c r="I28" s="2" t="s">
        <v>42</v>
      </c>
      <c r="J28" s="2">
        <v>4044</v>
      </c>
      <c r="K28" s="2">
        <v>6</v>
      </c>
      <c r="L28" s="2" t="s">
        <v>24</v>
      </c>
      <c r="M28" s="2">
        <v>3</v>
      </c>
      <c r="N28" s="2">
        <v>3</v>
      </c>
      <c r="O28" s="2">
        <v>3</v>
      </c>
      <c r="P28" s="2">
        <v>4</v>
      </c>
      <c r="Q28" s="2" t="s">
        <v>24</v>
      </c>
    </row>
    <row r="29" spans="1:17" x14ac:dyDescent="0.25">
      <c r="A29" s="2" t="s">
        <v>422</v>
      </c>
      <c r="B29" s="2">
        <v>23</v>
      </c>
      <c r="C29" s="2" t="s">
        <v>18</v>
      </c>
      <c r="D29" s="2" t="s">
        <v>33</v>
      </c>
      <c r="E29" s="2" t="s">
        <v>28</v>
      </c>
      <c r="F29" s="2" t="s">
        <v>59</v>
      </c>
      <c r="G29" s="2" t="s">
        <v>91</v>
      </c>
      <c r="H29" s="2">
        <v>16</v>
      </c>
      <c r="I29" s="2" t="s">
        <v>92</v>
      </c>
      <c r="J29" s="2">
        <v>4802</v>
      </c>
      <c r="K29" s="2">
        <v>2</v>
      </c>
      <c r="L29" s="2" t="s">
        <v>36</v>
      </c>
      <c r="M29" s="2">
        <v>1</v>
      </c>
      <c r="N29" s="2">
        <v>4</v>
      </c>
      <c r="O29" s="2">
        <v>3</v>
      </c>
      <c r="P29" s="2">
        <v>0</v>
      </c>
      <c r="Q29" s="2" t="s">
        <v>24</v>
      </c>
    </row>
    <row r="30" spans="1:17" x14ac:dyDescent="0.25">
      <c r="A30" s="2" t="s">
        <v>283</v>
      </c>
      <c r="B30" s="2">
        <v>45</v>
      </c>
      <c r="C30" s="2" t="s">
        <v>26</v>
      </c>
      <c r="D30" s="2" t="s">
        <v>19</v>
      </c>
      <c r="E30" s="2" t="s">
        <v>28</v>
      </c>
      <c r="F30" s="2" t="s">
        <v>29</v>
      </c>
      <c r="G30" s="2" t="s">
        <v>94</v>
      </c>
      <c r="H30" s="2">
        <v>9</v>
      </c>
      <c r="I30" s="2" t="s">
        <v>31</v>
      </c>
      <c r="J30" s="2">
        <v>15084</v>
      </c>
      <c r="K30" s="2">
        <v>1</v>
      </c>
      <c r="L30" s="2" t="s">
        <v>24</v>
      </c>
      <c r="M30" s="2">
        <v>1</v>
      </c>
      <c r="N30" s="2">
        <v>3</v>
      </c>
      <c r="O30" s="2">
        <v>3</v>
      </c>
      <c r="P30" s="2">
        <v>5</v>
      </c>
      <c r="Q30" s="2" t="s">
        <v>24</v>
      </c>
    </row>
    <row r="31" spans="1:17" x14ac:dyDescent="0.25">
      <c r="A31" s="2" t="s">
        <v>998</v>
      </c>
      <c r="B31" s="2">
        <v>42</v>
      </c>
      <c r="C31" s="2" t="s">
        <v>18</v>
      </c>
      <c r="D31" s="2" t="s">
        <v>19</v>
      </c>
      <c r="E31" s="2" t="s">
        <v>28</v>
      </c>
      <c r="F31" s="2" t="s">
        <v>59</v>
      </c>
      <c r="G31" s="2" t="s">
        <v>96</v>
      </c>
      <c r="H31" s="2">
        <v>7</v>
      </c>
      <c r="I31" s="2" t="s">
        <v>31</v>
      </c>
      <c r="J31" s="2">
        <v>5856</v>
      </c>
      <c r="K31" s="2">
        <v>19</v>
      </c>
      <c r="L31" s="2" t="s">
        <v>24</v>
      </c>
      <c r="M31" s="2">
        <v>2</v>
      </c>
      <c r="N31" s="2">
        <v>1</v>
      </c>
      <c r="O31" s="2">
        <v>3</v>
      </c>
      <c r="P31" s="2">
        <v>3</v>
      </c>
      <c r="Q31" s="2" t="s">
        <v>24</v>
      </c>
    </row>
    <row r="32" spans="1:17" x14ac:dyDescent="0.25">
      <c r="A32" s="2" t="s">
        <v>656</v>
      </c>
      <c r="B32" s="2">
        <v>43</v>
      </c>
      <c r="C32" s="2" t="s">
        <v>18</v>
      </c>
      <c r="D32" s="2" t="s">
        <v>27</v>
      </c>
      <c r="E32" s="2" t="s">
        <v>28</v>
      </c>
      <c r="F32" s="2" t="s">
        <v>64</v>
      </c>
      <c r="G32" s="2" t="s">
        <v>98</v>
      </c>
      <c r="H32" s="2">
        <v>2</v>
      </c>
      <c r="I32" s="2" t="s">
        <v>23</v>
      </c>
      <c r="J32" s="2">
        <v>5697</v>
      </c>
      <c r="K32" s="2">
        <v>6</v>
      </c>
      <c r="L32" s="2" t="s">
        <v>36</v>
      </c>
      <c r="M32" s="2">
        <v>2</v>
      </c>
      <c r="N32" s="2">
        <v>3</v>
      </c>
      <c r="O32" s="2">
        <v>4</v>
      </c>
      <c r="P32" s="2">
        <v>0</v>
      </c>
      <c r="Q32" s="2" t="s">
        <v>24</v>
      </c>
    </row>
    <row r="33" spans="1:17" x14ac:dyDescent="0.25">
      <c r="A33" s="2" t="s">
        <v>975</v>
      </c>
      <c r="B33" s="2">
        <v>20</v>
      </c>
      <c r="C33" s="2" t="s">
        <v>18</v>
      </c>
      <c r="D33" s="2" t="s">
        <v>33</v>
      </c>
      <c r="E33" s="2" t="s">
        <v>20</v>
      </c>
      <c r="F33" s="2" t="s">
        <v>21</v>
      </c>
      <c r="G33" s="2" t="s">
        <v>100</v>
      </c>
      <c r="H33" s="2">
        <v>2</v>
      </c>
      <c r="I33" s="2" t="s">
        <v>23</v>
      </c>
      <c r="J33" s="2">
        <v>12769</v>
      </c>
      <c r="K33" s="2">
        <v>9</v>
      </c>
      <c r="L33" s="2" t="s">
        <v>24</v>
      </c>
      <c r="M33" s="2">
        <v>4</v>
      </c>
      <c r="N33" s="2">
        <v>4</v>
      </c>
      <c r="O33" s="2">
        <v>3</v>
      </c>
      <c r="P33" s="2">
        <v>3</v>
      </c>
      <c r="Q33" s="2" t="s">
        <v>24</v>
      </c>
    </row>
    <row r="34" spans="1:17" x14ac:dyDescent="0.25">
      <c r="A34" s="2" t="s">
        <v>730</v>
      </c>
      <c r="B34" s="2">
        <v>36</v>
      </c>
      <c r="C34" s="2" t="s">
        <v>18</v>
      </c>
      <c r="D34" s="2" t="s">
        <v>19</v>
      </c>
      <c r="E34" s="2" t="s">
        <v>28</v>
      </c>
      <c r="F34" s="2" t="s">
        <v>29</v>
      </c>
      <c r="G34" s="2" t="s">
        <v>102</v>
      </c>
      <c r="H34" s="2">
        <v>0</v>
      </c>
      <c r="I34" s="2" t="s">
        <v>23</v>
      </c>
      <c r="J34" s="2">
        <v>14370</v>
      </c>
      <c r="K34" s="2">
        <v>3</v>
      </c>
      <c r="L34" s="2" t="s">
        <v>24</v>
      </c>
      <c r="M34" s="2">
        <v>1</v>
      </c>
      <c r="N34" s="2">
        <v>3</v>
      </c>
      <c r="O34" s="2">
        <v>3</v>
      </c>
      <c r="P34" s="2">
        <v>4</v>
      </c>
      <c r="Q34" s="2" t="s">
        <v>36</v>
      </c>
    </row>
    <row r="35" spans="1:17" x14ac:dyDescent="0.25">
      <c r="A35" s="2" t="s">
        <v>602</v>
      </c>
      <c r="B35" s="2">
        <v>21</v>
      </c>
      <c r="C35" s="2" t="s">
        <v>18</v>
      </c>
      <c r="D35" s="2" t="s">
        <v>33</v>
      </c>
      <c r="E35" s="2" t="s">
        <v>28</v>
      </c>
      <c r="F35" s="2" t="s">
        <v>59</v>
      </c>
      <c r="G35" s="2" t="s">
        <v>104</v>
      </c>
      <c r="H35" s="2">
        <v>0</v>
      </c>
      <c r="I35" s="2" t="s">
        <v>23</v>
      </c>
      <c r="J35" s="2">
        <v>5916</v>
      </c>
      <c r="K35" s="2">
        <v>19</v>
      </c>
      <c r="L35" s="2" t="s">
        <v>24</v>
      </c>
      <c r="M35" s="2">
        <v>4</v>
      </c>
      <c r="N35" s="2">
        <v>3</v>
      </c>
      <c r="O35" s="2">
        <v>3</v>
      </c>
      <c r="P35" s="2">
        <v>3</v>
      </c>
      <c r="Q35" s="2" t="s">
        <v>24</v>
      </c>
    </row>
    <row r="36" spans="1:17" x14ac:dyDescent="0.25">
      <c r="A36" s="2" t="s">
        <v>275</v>
      </c>
      <c r="B36" s="2">
        <v>37</v>
      </c>
      <c r="C36" s="2" t="s">
        <v>18</v>
      </c>
      <c r="D36" s="2" t="s">
        <v>19</v>
      </c>
      <c r="E36" s="2" t="s">
        <v>28</v>
      </c>
      <c r="F36" s="2" t="s">
        <v>64</v>
      </c>
      <c r="G36" s="2" t="s">
        <v>106</v>
      </c>
      <c r="H36" s="2">
        <v>6</v>
      </c>
      <c r="I36" s="2" t="s">
        <v>31</v>
      </c>
      <c r="J36" s="2">
        <v>5495</v>
      </c>
      <c r="K36" s="2">
        <v>6</v>
      </c>
      <c r="L36" s="2" t="s">
        <v>24</v>
      </c>
      <c r="M36" s="2">
        <v>1</v>
      </c>
      <c r="N36" s="2">
        <v>3</v>
      </c>
      <c r="O36" s="2">
        <v>3</v>
      </c>
      <c r="P36" s="2">
        <v>5</v>
      </c>
      <c r="Q36" s="2" t="s">
        <v>24</v>
      </c>
    </row>
    <row r="37" spans="1:17" x14ac:dyDescent="0.25">
      <c r="A37" s="2" t="s">
        <v>964</v>
      </c>
      <c r="B37" s="2">
        <v>21</v>
      </c>
      <c r="C37" s="2" t="s">
        <v>18</v>
      </c>
      <c r="D37" s="2" t="s">
        <v>19</v>
      </c>
      <c r="E37" s="2" t="s">
        <v>20</v>
      </c>
      <c r="F37" s="2" t="s">
        <v>44</v>
      </c>
      <c r="G37" s="2" t="s">
        <v>108</v>
      </c>
      <c r="H37" s="2">
        <v>8</v>
      </c>
      <c r="I37" s="2" t="s">
        <v>31</v>
      </c>
      <c r="J37" s="2">
        <v>7660</v>
      </c>
      <c r="K37" s="2">
        <v>5</v>
      </c>
      <c r="L37" s="2" t="s">
        <v>36</v>
      </c>
      <c r="M37" s="2">
        <v>3</v>
      </c>
      <c r="N37" s="2">
        <v>3</v>
      </c>
      <c r="O37" s="2">
        <v>3</v>
      </c>
      <c r="P37" s="2">
        <v>0</v>
      </c>
      <c r="Q37" s="2" t="s">
        <v>24</v>
      </c>
    </row>
    <row r="38" spans="1:17" x14ac:dyDescent="0.25">
      <c r="A38" s="2" t="s">
        <v>325</v>
      </c>
      <c r="B38" s="2">
        <v>33</v>
      </c>
      <c r="C38" s="2" t="s">
        <v>26</v>
      </c>
      <c r="D38" s="2" t="s">
        <v>33</v>
      </c>
      <c r="E38" s="2" t="s">
        <v>110</v>
      </c>
      <c r="F38" s="2" t="s">
        <v>111</v>
      </c>
      <c r="G38" s="2" t="s">
        <v>112</v>
      </c>
      <c r="H38" s="2">
        <v>4</v>
      </c>
      <c r="I38" s="2" t="s">
        <v>42</v>
      </c>
      <c r="J38" s="2">
        <v>3567</v>
      </c>
      <c r="K38" s="2">
        <v>1</v>
      </c>
      <c r="L38" s="2" t="s">
        <v>24</v>
      </c>
      <c r="M38" s="2">
        <v>2</v>
      </c>
      <c r="N38" s="2">
        <v>3</v>
      </c>
      <c r="O38" s="2">
        <v>3</v>
      </c>
      <c r="P38" s="2">
        <v>2</v>
      </c>
      <c r="Q38" s="2" t="s">
        <v>24</v>
      </c>
    </row>
    <row r="39" spans="1:17" x14ac:dyDescent="0.25">
      <c r="A39" s="2" t="s">
        <v>507</v>
      </c>
      <c r="B39" s="2">
        <v>36</v>
      </c>
      <c r="C39" s="2" t="s">
        <v>26</v>
      </c>
      <c r="D39" s="2" t="s">
        <v>33</v>
      </c>
      <c r="E39" s="2" t="s">
        <v>28</v>
      </c>
      <c r="F39" s="2" t="s">
        <v>59</v>
      </c>
      <c r="G39" s="2" t="s">
        <v>114</v>
      </c>
      <c r="H39" s="2">
        <v>3</v>
      </c>
      <c r="I39" s="2" t="s">
        <v>42</v>
      </c>
      <c r="J39" s="2">
        <v>5782</v>
      </c>
      <c r="K39" s="2">
        <v>5</v>
      </c>
      <c r="L39" s="2" t="s">
        <v>24</v>
      </c>
      <c r="M39" s="2">
        <v>4</v>
      </c>
      <c r="N39" s="2">
        <v>2</v>
      </c>
      <c r="O39" s="2">
        <v>3</v>
      </c>
      <c r="P39" s="2">
        <v>3</v>
      </c>
      <c r="Q39" s="2" t="s">
        <v>36</v>
      </c>
    </row>
    <row r="40" spans="1:17" x14ac:dyDescent="0.25">
      <c r="A40" s="2" t="s">
        <v>815</v>
      </c>
      <c r="B40" s="2">
        <v>34</v>
      </c>
      <c r="C40" s="2" t="s">
        <v>26</v>
      </c>
      <c r="D40" s="2" t="s">
        <v>19</v>
      </c>
      <c r="E40" s="2" t="s">
        <v>28</v>
      </c>
      <c r="F40" s="2" t="s">
        <v>59</v>
      </c>
      <c r="G40" s="2" t="s">
        <v>116</v>
      </c>
      <c r="H40" s="2">
        <v>6</v>
      </c>
      <c r="I40" s="2" t="s">
        <v>31</v>
      </c>
      <c r="J40" s="2">
        <v>6281</v>
      </c>
      <c r="K40" s="2">
        <v>8</v>
      </c>
      <c r="L40" s="2" t="s">
        <v>36</v>
      </c>
      <c r="M40" s="2">
        <v>4</v>
      </c>
      <c r="N40" s="2">
        <v>3</v>
      </c>
      <c r="O40" s="2">
        <v>3</v>
      </c>
      <c r="P40" s="2">
        <v>4</v>
      </c>
      <c r="Q40" s="2" t="s">
        <v>24</v>
      </c>
    </row>
    <row r="41" spans="1:17" x14ac:dyDescent="0.25">
      <c r="A41" s="2" t="s">
        <v>533</v>
      </c>
      <c r="B41" s="2">
        <v>27</v>
      </c>
      <c r="C41" s="2" t="s">
        <v>26</v>
      </c>
      <c r="D41" s="2" t="s">
        <v>27</v>
      </c>
      <c r="E41" s="2" t="s">
        <v>28</v>
      </c>
      <c r="F41" s="2" t="s">
        <v>59</v>
      </c>
      <c r="G41" s="2" t="s">
        <v>118</v>
      </c>
      <c r="H41" s="2">
        <v>0</v>
      </c>
      <c r="I41" s="2" t="s">
        <v>23</v>
      </c>
      <c r="J41" s="2">
        <v>5920</v>
      </c>
      <c r="K41" s="2">
        <v>10</v>
      </c>
      <c r="L41" s="2" t="s">
        <v>36</v>
      </c>
      <c r="M41" s="2">
        <v>4</v>
      </c>
      <c r="N41" s="2">
        <v>3</v>
      </c>
      <c r="O41" s="2">
        <v>4</v>
      </c>
      <c r="P41" s="2">
        <v>5</v>
      </c>
      <c r="Q41" s="2" t="s">
        <v>36</v>
      </c>
    </row>
    <row r="42" spans="1:17" x14ac:dyDescent="0.25">
      <c r="A42" s="2" t="s">
        <v>1057</v>
      </c>
      <c r="B42" s="2">
        <v>46</v>
      </c>
      <c r="C42" s="2" t="s">
        <v>18</v>
      </c>
      <c r="D42" s="2" t="s">
        <v>33</v>
      </c>
      <c r="E42" s="2" t="s">
        <v>20</v>
      </c>
      <c r="F42" s="2" t="s">
        <v>44</v>
      </c>
      <c r="G42" s="2" t="s">
        <v>120</v>
      </c>
      <c r="H42" s="2">
        <v>4</v>
      </c>
      <c r="I42" s="2" t="s">
        <v>42</v>
      </c>
      <c r="J42" s="2">
        <v>4663</v>
      </c>
      <c r="K42" s="2">
        <v>10</v>
      </c>
      <c r="L42" s="2" t="s">
        <v>36</v>
      </c>
      <c r="M42" s="2">
        <v>2</v>
      </c>
      <c r="N42" s="2">
        <v>3</v>
      </c>
      <c r="O42" s="2">
        <v>3</v>
      </c>
      <c r="P42" s="2">
        <v>5</v>
      </c>
      <c r="Q42" s="2" t="s">
        <v>24</v>
      </c>
    </row>
    <row r="43" spans="1:17" x14ac:dyDescent="0.25">
      <c r="A43" s="2" t="s">
        <v>822</v>
      </c>
      <c r="B43" s="2">
        <v>45</v>
      </c>
      <c r="C43" s="2" t="s">
        <v>18</v>
      </c>
      <c r="D43" s="2" t="s">
        <v>33</v>
      </c>
      <c r="E43" s="2" t="s">
        <v>28</v>
      </c>
      <c r="F43" s="2" t="s">
        <v>34</v>
      </c>
      <c r="G43" s="2" t="s">
        <v>122</v>
      </c>
      <c r="H43" s="2">
        <v>7</v>
      </c>
      <c r="I43" s="2" t="s">
        <v>31</v>
      </c>
      <c r="J43" s="2">
        <v>3647</v>
      </c>
      <c r="K43" s="2">
        <v>4</v>
      </c>
      <c r="L43" s="2" t="s">
        <v>24</v>
      </c>
      <c r="M43" s="2">
        <v>4</v>
      </c>
      <c r="N43" s="2">
        <v>4</v>
      </c>
      <c r="O43" s="2">
        <v>4</v>
      </c>
      <c r="P43" s="2">
        <v>3</v>
      </c>
      <c r="Q43" s="2" t="s">
        <v>24</v>
      </c>
    </row>
    <row r="44" spans="1:17" x14ac:dyDescent="0.25">
      <c r="A44" s="2" t="s">
        <v>788</v>
      </c>
      <c r="B44" s="2">
        <v>33</v>
      </c>
      <c r="C44" s="2" t="s">
        <v>18</v>
      </c>
      <c r="D44" s="2" t="s">
        <v>33</v>
      </c>
      <c r="E44" s="2" t="s">
        <v>20</v>
      </c>
      <c r="F44" s="2" t="s">
        <v>44</v>
      </c>
      <c r="G44" s="2" t="s">
        <v>124</v>
      </c>
      <c r="H44" s="2">
        <v>1</v>
      </c>
      <c r="I44" s="2" t="s">
        <v>23</v>
      </c>
      <c r="J44" s="2">
        <v>4565</v>
      </c>
      <c r="K44" s="2">
        <v>1</v>
      </c>
      <c r="L44" s="2" t="s">
        <v>24</v>
      </c>
      <c r="M44" s="2">
        <v>2</v>
      </c>
      <c r="N44" s="2">
        <v>2</v>
      </c>
      <c r="O44" s="2">
        <v>3</v>
      </c>
      <c r="P44" s="2">
        <v>5</v>
      </c>
      <c r="Q44" s="2" t="s">
        <v>36</v>
      </c>
    </row>
    <row r="45" spans="1:17" x14ac:dyDescent="0.25">
      <c r="A45" s="2" t="s">
        <v>917</v>
      </c>
      <c r="B45" s="2">
        <v>31</v>
      </c>
      <c r="C45" s="2" t="s">
        <v>26</v>
      </c>
      <c r="D45" s="2" t="s">
        <v>33</v>
      </c>
      <c r="E45" s="2" t="s">
        <v>28</v>
      </c>
      <c r="F45" s="2" t="s">
        <v>34</v>
      </c>
      <c r="G45" s="2" t="s">
        <v>126</v>
      </c>
      <c r="H45" s="2">
        <v>3</v>
      </c>
      <c r="I45" s="2" t="s">
        <v>42</v>
      </c>
      <c r="J45" s="2">
        <v>3185</v>
      </c>
      <c r="K45" s="2">
        <v>4</v>
      </c>
      <c r="L45" s="2" t="s">
        <v>24</v>
      </c>
      <c r="M45" s="2">
        <v>2</v>
      </c>
      <c r="N45" s="2">
        <v>3</v>
      </c>
      <c r="O45" s="2">
        <v>3</v>
      </c>
      <c r="P45" s="2">
        <v>0</v>
      </c>
      <c r="Q45" s="2" t="s">
        <v>24</v>
      </c>
    </row>
    <row r="46" spans="1:17" x14ac:dyDescent="0.25">
      <c r="A46" s="2" t="s">
        <v>172</v>
      </c>
      <c r="B46" s="2">
        <v>20</v>
      </c>
      <c r="C46" s="2" t="s">
        <v>26</v>
      </c>
      <c r="D46" s="2" t="s">
        <v>33</v>
      </c>
      <c r="E46" s="2" t="s">
        <v>110</v>
      </c>
      <c r="F46" s="2" t="s">
        <v>128</v>
      </c>
      <c r="G46" s="2" t="s">
        <v>129</v>
      </c>
      <c r="H46" s="2">
        <v>2</v>
      </c>
      <c r="I46" s="2" t="s">
        <v>23</v>
      </c>
      <c r="J46" s="2">
        <v>12135</v>
      </c>
      <c r="K46" s="2">
        <v>4</v>
      </c>
      <c r="L46" s="2" t="s">
        <v>24</v>
      </c>
      <c r="M46" s="2">
        <v>4</v>
      </c>
      <c r="N46" s="2">
        <v>2</v>
      </c>
      <c r="O46" s="2">
        <v>4</v>
      </c>
      <c r="P46" s="2">
        <v>3</v>
      </c>
      <c r="Q46" s="2" t="s">
        <v>24</v>
      </c>
    </row>
    <row r="47" spans="1:17" x14ac:dyDescent="0.25">
      <c r="A47" s="2" t="s">
        <v>199</v>
      </c>
      <c r="B47" s="2">
        <v>50</v>
      </c>
      <c r="C47" s="2" t="s">
        <v>18</v>
      </c>
      <c r="D47" s="2" t="s">
        <v>33</v>
      </c>
      <c r="E47" s="2" t="s">
        <v>28</v>
      </c>
      <c r="F47" s="2" t="s">
        <v>64</v>
      </c>
      <c r="G47" s="2" t="s">
        <v>131</v>
      </c>
      <c r="H47" s="2">
        <v>6</v>
      </c>
      <c r="I47" s="2" t="s">
        <v>31</v>
      </c>
      <c r="J47" s="2">
        <v>6065</v>
      </c>
      <c r="K47" s="2">
        <v>1</v>
      </c>
      <c r="L47" s="2" t="s">
        <v>24</v>
      </c>
      <c r="M47" s="2">
        <v>4</v>
      </c>
      <c r="N47" s="2">
        <v>4</v>
      </c>
      <c r="O47" s="2">
        <v>3</v>
      </c>
      <c r="P47" s="2">
        <v>3</v>
      </c>
      <c r="Q47" s="2" t="s">
        <v>24</v>
      </c>
    </row>
    <row r="48" spans="1:17" x14ac:dyDescent="0.25">
      <c r="A48" s="2" t="s">
        <v>142</v>
      </c>
      <c r="B48" s="2">
        <v>35</v>
      </c>
      <c r="C48" s="2" t="s">
        <v>26</v>
      </c>
      <c r="D48" s="2" t="s">
        <v>19</v>
      </c>
      <c r="E48" s="2" t="s">
        <v>28</v>
      </c>
      <c r="F48" s="2" t="s">
        <v>59</v>
      </c>
      <c r="G48" s="2" t="s">
        <v>133</v>
      </c>
      <c r="H48" s="2">
        <v>1</v>
      </c>
      <c r="I48" s="2" t="s">
        <v>23</v>
      </c>
      <c r="J48" s="2">
        <v>5829</v>
      </c>
      <c r="K48" s="2">
        <v>3</v>
      </c>
      <c r="L48" s="2" t="s">
        <v>24</v>
      </c>
      <c r="M48" s="2">
        <v>2</v>
      </c>
      <c r="N48" s="2">
        <v>3</v>
      </c>
      <c r="O48" s="2">
        <v>3</v>
      </c>
      <c r="P48" s="2">
        <v>0</v>
      </c>
      <c r="Q48" s="2" t="s">
        <v>36</v>
      </c>
    </row>
    <row r="49" spans="1:17" x14ac:dyDescent="0.25">
      <c r="A49" s="2" t="s">
        <v>355</v>
      </c>
      <c r="B49" s="2">
        <v>44</v>
      </c>
      <c r="C49" s="2" t="s">
        <v>26</v>
      </c>
      <c r="D49" s="2" t="s">
        <v>19</v>
      </c>
      <c r="E49" s="2" t="s">
        <v>20</v>
      </c>
      <c r="F49" s="2" t="s">
        <v>44</v>
      </c>
      <c r="G49" s="2" t="s">
        <v>135</v>
      </c>
      <c r="H49" s="2">
        <v>0</v>
      </c>
      <c r="I49" s="2" t="s">
        <v>23</v>
      </c>
      <c r="J49" s="2">
        <v>6234</v>
      </c>
      <c r="K49" s="2">
        <v>15</v>
      </c>
      <c r="L49" s="2" t="s">
        <v>36</v>
      </c>
      <c r="M49" s="2">
        <v>1</v>
      </c>
      <c r="N49" s="2">
        <v>4</v>
      </c>
      <c r="O49" s="2">
        <v>3</v>
      </c>
      <c r="P49" s="2">
        <v>0</v>
      </c>
      <c r="Q49" s="2" t="s">
        <v>24</v>
      </c>
    </row>
    <row r="50" spans="1:17" x14ac:dyDescent="0.25">
      <c r="A50" s="2" t="s">
        <v>238</v>
      </c>
      <c r="B50" s="2">
        <v>47</v>
      </c>
      <c r="C50" s="2" t="s">
        <v>26</v>
      </c>
      <c r="D50" s="2" t="s">
        <v>33</v>
      </c>
      <c r="E50" s="2" t="s">
        <v>28</v>
      </c>
      <c r="F50" s="2" t="s">
        <v>64</v>
      </c>
      <c r="G50" s="2" t="s">
        <v>137</v>
      </c>
      <c r="H50" s="2">
        <v>5</v>
      </c>
      <c r="I50" s="2" t="s">
        <v>42</v>
      </c>
      <c r="J50" s="2">
        <v>6610</v>
      </c>
      <c r="K50" s="2">
        <v>4</v>
      </c>
      <c r="L50" s="2" t="s">
        <v>24</v>
      </c>
      <c r="M50" s="2">
        <v>4</v>
      </c>
      <c r="N50" s="2">
        <v>4</v>
      </c>
      <c r="O50" s="2">
        <v>4</v>
      </c>
      <c r="P50" s="2">
        <v>2</v>
      </c>
      <c r="Q50" s="2" t="s">
        <v>24</v>
      </c>
    </row>
    <row r="51" spans="1:17" x14ac:dyDescent="0.25">
      <c r="A51" s="2" t="s">
        <v>337</v>
      </c>
      <c r="B51" s="2">
        <v>40</v>
      </c>
      <c r="C51" s="2" t="s">
        <v>26</v>
      </c>
      <c r="D51" s="2" t="s">
        <v>19</v>
      </c>
      <c r="E51" s="2" t="s">
        <v>28</v>
      </c>
      <c r="F51" s="2" t="s">
        <v>34</v>
      </c>
      <c r="G51" s="2" t="s">
        <v>139</v>
      </c>
      <c r="H51" s="2">
        <v>0</v>
      </c>
      <c r="I51" s="2" t="s">
        <v>23</v>
      </c>
      <c r="J51" s="2">
        <v>4029</v>
      </c>
      <c r="K51" s="2">
        <v>1</v>
      </c>
      <c r="L51" s="2" t="s">
        <v>24</v>
      </c>
      <c r="M51" s="2">
        <v>1</v>
      </c>
      <c r="N51" s="2">
        <v>2</v>
      </c>
      <c r="O51" s="2">
        <v>3</v>
      </c>
      <c r="P51" s="2">
        <v>5</v>
      </c>
      <c r="Q51" s="2" t="s">
        <v>36</v>
      </c>
    </row>
    <row r="52" spans="1:17" x14ac:dyDescent="0.25">
      <c r="A52" s="2" t="s">
        <v>479</v>
      </c>
      <c r="B52" s="2">
        <v>20</v>
      </c>
      <c r="C52" s="2" t="s">
        <v>26</v>
      </c>
      <c r="D52" s="2" t="s">
        <v>19</v>
      </c>
      <c r="E52" s="2" t="s">
        <v>20</v>
      </c>
      <c r="F52" s="2" t="s">
        <v>40</v>
      </c>
      <c r="G52" s="2" t="s">
        <v>141</v>
      </c>
      <c r="H52" s="2">
        <v>3</v>
      </c>
      <c r="I52" s="2" t="s">
        <v>42</v>
      </c>
      <c r="J52" s="2">
        <v>3531</v>
      </c>
      <c r="K52" s="2">
        <v>1</v>
      </c>
      <c r="L52" s="2" t="s">
        <v>24</v>
      </c>
      <c r="M52" s="2">
        <v>4</v>
      </c>
      <c r="N52" s="2">
        <v>3</v>
      </c>
      <c r="O52" s="2">
        <v>4</v>
      </c>
      <c r="P52" s="2">
        <v>5</v>
      </c>
      <c r="Q52" s="2" t="s">
        <v>24</v>
      </c>
    </row>
    <row r="53" spans="1:17" x14ac:dyDescent="0.25">
      <c r="A53" s="2" t="s">
        <v>448</v>
      </c>
      <c r="B53" s="2">
        <v>23</v>
      </c>
      <c r="C53" s="2" t="s">
        <v>26</v>
      </c>
      <c r="D53" s="2" t="s">
        <v>19</v>
      </c>
      <c r="E53" s="2" t="s">
        <v>28</v>
      </c>
      <c r="F53" s="2" t="s">
        <v>64</v>
      </c>
      <c r="G53" s="2" t="s">
        <v>143</v>
      </c>
      <c r="H53" s="2">
        <v>0</v>
      </c>
      <c r="I53" s="2" t="s">
        <v>23</v>
      </c>
      <c r="J53" s="2">
        <v>5687</v>
      </c>
      <c r="K53" s="2">
        <v>8</v>
      </c>
      <c r="L53" s="2" t="s">
        <v>36</v>
      </c>
      <c r="M53" s="2">
        <v>3</v>
      </c>
      <c r="N53" s="2">
        <v>4</v>
      </c>
      <c r="O53" s="2">
        <v>3</v>
      </c>
      <c r="P53" s="2">
        <v>3</v>
      </c>
      <c r="Q53" s="2" t="s">
        <v>24</v>
      </c>
    </row>
    <row r="54" spans="1:17" x14ac:dyDescent="0.25">
      <c r="A54" s="2" t="s">
        <v>502</v>
      </c>
      <c r="B54" s="2">
        <v>44</v>
      </c>
      <c r="C54" s="2" t="s">
        <v>18</v>
      </c>
      <c r="D54" s="2" t="s">
        <v>19</v>
      </c>
      <c r="E54" s="2" t="s">
        <v>20</v>
      </c>
      <c r="F54" s="2" t="s">
        <v>40</v>
      </c>
      <c r="G54" s="2" t="s">
        <v>145</v>
      </c>
      <c r="H54" s="2">
        <v>0</v>
      </c>
      <c r="I54" s="2" t="s">
        <v>23</v>
      </c>
      <c r="J54" s="2">
        <v>3981</v>
      </c>
      <c r="K54" s="2">
        <v>1</v>
      </c>
      <c r="L54" s="2" t="s">
        <v>24</v>
      </c>
      <c r="M54" s="2">
        <v>4</v>
      </c>
      <c r="N54" s="2">
        <v>3</v>
      </c>
      <c r="O54" s="2">
        <v>3</v>
      </c>
      <c r="P54" s="2">
        <v>1</v>
      </c>
      <c r="Q54" s="2" t="s">
        <v>24</v>
      </c>
    </row>
    <row r="55" spans="1:17" x14ac:dyDescent="0.25">
      <c r="A55" s="2" t="s">
        <v>138</v>
      </c>
      <c r="B55" s="2">
        <v>36</v>
      </c>
      <c r="C55" s="2" t="s">
        <v>18</v>
      </c>
      <c r="D55" s="2" t="s">
        <v>19</v>
      </c>
      <c r="E55" s="2" t="s">
        <v>28</v>
      </c>
      <c r="F55" s="2" t="s">
        <v>34</v>
      </c>
      <c r="G55" s="2" t="s">
        <v>147</v>
      </c>
      <c r="H55" s="2">
        <v>0</v>
      </c>
      <c r="I55" s="2" t="s">
        <v>23</v>
      </c>
      <c r="J55" s="2">
        <v>3182</v>
      </c>
      <c r="K55" s="2">
        <v>1</v>
      </c>
      <c r="L55" s="2" t="s">
        <v>24</v>
      </c>
      <c r="M55" s="2">
        <v>3</v>
      </c>
      <c r="N55" s="2">
        <v>3</v>
      </c>
      <c r="O55" s="2">
        <v>3</v>
      </c>
      <c r="P55" s="2">
        <v>4</v>
      </c>
      <c r="Q55" s="2" t="s">
        <v>24</v>
      </c>
    </row>
    <row r="56" spans="1:17" x14ac:dyDescent="0.25">
      <c r="A56" s="2" t="s">
        <v>677</v>
      </c>
      <c r="B56" s="2">
        <v>36</v>
      </c>
      <c r="C56" s="2" t="s">
        <v>26</v>
      </c>
      <c r="D56" s="2" t="s">
        <v>19</v>
      </c>
      <c r="E56" s="2" t="s">
        <v>28</v>
      </c>
      <c r="F56" s="2" t="s">
        <v>29</v>
      </c>
      <c r="G56" s="2" t="s">
        <v>149</v>
      </c>
      <c r="H56" s="2">
        <v>5</v>
      </c>
      <c r="I56" s="2" t="s">
        <v>42</v>
      </c>
      <c r="J56" s="2">
        <v>10212</v>
      </c>
      <c r="K56" s="2">
        <v>2</v>
      </c>
      <c r="L56" s="2" t="s">
        <v>24</v>
      </c>
      <c r="M56" s="2">
        <v>2</v>
      </c>
      <c r="N56" s="2">
        <v>2</v>
      </c>
      <c r="O56" s="2">
        <v>4</v>
      </c>
      <c r="P56" s="2">
        <v>0</v>
      </c>
      <c r="Q56" s="2" t="s">
        <v>36</v>
      </c>
    </row>
    <row r="57" spans="1:17" x14ac:dyDescent="0.25">
      <c r="A57" s="2" t="s">
        <v>526</v>
      </c>
      <c r="B57" s="2">
        <v>40</v>
      </c>
      <c r="C57" s="2" t="s">
        <v>18</v>
      </c>
      <c r="D57" s="2" t="s">
        <v>19</v>
      </c>
      <c r="E57" s="2" t="s">
        <v>20</v>
      </c>
      <c r="F57" s="2" t="s">
        <v>44</v>
      </c>
      <c r="G57" s="2" t="s">
        <v>151</v>
      </c>
      <c r="H57" s="2">
        <v>1</v>
      </c>
      <c r="I57" s="2" t="s">
        <v>23</v>
      </c>
      <c r="J57" s="2">
        <v>5389</v>
      </c>
      <c r="K57" s="2">
        <v>14</v>
      </c>
      <c r="L57" s="2" t="s">
        <v>24</v>
      </c>
      <c r="M57" s="2">
        <v>1</v>
      </c>
      <c r="N57" s="2">
        <v>2</v>
      </c>
      <c r="O57" s="2">
        <v>3</v>
      </c>
      <c r="P57" s="2">
        <v>5</v>
      </c>
      <c r="Q57" s="2" t="s">
        <v>24</v>
      </c>
    </row>
    <row r="58" spans="1:17" x14ac:dyDescent="0.25">
      <c r="A58" s="2" t="s">
        <v>778</v>
      </c>
      <c r="B58" s="2">
        <v>21</v>
      </c>
      <c r="C58" s="2" t="s">
        <v>18</v>
      </c>
      <c r="D58" s="2" t="s">
        <v>19</v>
      </c>
      <c r="E58" s="2" t="s">
        <v>20</v>
      </c>
      <c r="F58" s="2" t="s">
        <v>40</v>
      </c>
      <c r="G58" s="2" t="s">
        <v>153</v>
      </c>
      <c r="H58" s="2">
        <v>6</v>
      </c>
      <c r="I58" s="2" t="s">
        <v>31</v>
      </c>
      <c r="J58" s="2">
        <v>5581</v>
      </c>
      <c r="K58" s="2">
        <v>1</v>
      </c>
      <c r="L58" s="2" t="s">
        <v>36</v>
      </c>
      <c r="M58" s="2">
        <v>1</v>
      </c>
      <c r="N58" s="2">
        <v>4</v>
      </c>
      <c r="O58" s="2">
        <v>3</v>
      </c>
      <c r="P58" s="2">
        <v>3</v>
      </c>
      <c r="Q58" s="2" t="s">
        <v>36</v>
      </c>
    </row>
    <row r="59" spans="1:17" x14ac:dyDescent="0.25">
      <c r="A59" s="2" t="s">
        <v>305</v>
      </c>
      <c r="B59" s="2">
        <v>26</v>
      </c>
      <c r="C59" s="2" t="s">
        <v>18</v>
      </c>
      <c r="D59" s="2" t="s">
        <v>33</v>
      </c>
      <c r="E59" s="2" t="s">
        <v>20</v>
      </c>
      <c r="F59" s="2" t="s">
        <v>40</v>
      </c>
      <c r="G59" s="2" t="s">
        <v>155</v>
      </c>
      <c r="H59" s="2">
        <v>3</v>
      </c>
      <c r="I59" s="2" t="s">
        <v>42</v>
      </c>
      <c r="J59" s="2">
        <v>3938</v>
      </c>
      <c r="K59" s="2">
        <v>7</v>
      </c>
      <c r="L59" s="2" t="s">
        <v>36</v>
      </c>
      <c r="M59" s="2">
        <v>2</v>
      </c>
      <c r="N59" s="2">
        <v>1</v>
      </c>
      <c r="O59" s="2">
        <v>3</v>
      </c>
      <c r="P59" s="2">
        <v>4</v>
      </c>
      <c r="Q59" s="2" t="s">
        <v>24</v>
      </c>
    </row>
    <row r="60" spans="1:17" x14ac:dyDescent="0.25">
      <c r="A60" s="2" t="s">
        <v>363</v>
      </c>
      <c r="B60" s="2">
        <v>35</v>
      </c>
      <c r="C60" s="2" t="s">
        <v>26</v>
      </c>
      <c r="D60" s="2" t="s">
        <v>19</v>
      </c>
      <c r="E60" s="2" t="s">
        <v>110</v>
      </c>
      <c r="F60" s="2" t="s">
        <v>128</v>
      </c>
      <c r="G60" s="2" t="s">
        <v>157</v>
      </c>
      <c r="H60" s="2">
        <v>0</v>
      </c>
      <c r="I60" s="2" t="s">
        <v>23</v>
      </c>
      <c r="J60" s="2">
        <v>10887</v>
      </c>
      <c r="K60" s="2">
        <v>1</v>
      </c>
      <c r="L60" s="2" t="s">
        <v>24</v>
      </c>
      <c r="M60" s="2">
        <v>2</v>
      </c>
      <c r="N60" s="2">
        <v>2</v>
      </c>
      <c r="O60" s="2">
        <v>3</v>
      </c>
      <c r="P60" s="2">
        <v>5</v>
      </c>
      <c r="Q60" s="2" t="s">
        <v>36</v>
      </c>
    </row>
    <row r="61" spans="1:17" x14ac:dyDescent="0.25">
      <c r="A61" s="2" t="s">
        <v>695</v>
      </c>
      <c r="B61" s="2">
        <v>39</v>
      </c>
      <c r="C61" s="2" t="s">
        <v>18</v>
      </c>
      <c r="D61" s="2" t="s">
        <v>19</v>
      </c>
      <c r="E61" s="2" t="s">
        <v>20</v>
      </c>
      <c r="F61" s="2" t="s">
        <v>21</v>
      </c>
      <c r="G61" s="2" t="s">
        <v>159</v>
      </c>
      <c r="H61" s="2">
        <v>4</v>
      </c>
      <c r="I61" s="2" t="s">
        <v>42</v>
      </c>
      <c r="J61" s="2">
        <v>11031</v>
      </c>
      <c r="K61" s="2">
        <v>11</v>
      </c>
      <c r="L61" s="2" t="s">
        <v>24</v>
      </c>
      <c r="M61" s="2">
        <v>4</v>
      </c>
      <c r="N61" s="2">
        <v>3</v>
      </c>
      <c r="O61" s="2">
        <v>3</v>
      </c>
      <c r="P61" s="2">
        <v>0</v>
      </c>
      <c r="Q61" s="2" t="s">
        <v>24</v>
      </c>
    </row>
    <row r="62" spans="1:17" x14ac:dyDescent="0.25">
      <c r="A62" s="2" t="s">
        <v>1072</v>
      </c>
      <c r="B62" s="2">
        <v>29</v>
      </c>
      <c r="C62" s="2" t="s">
        <v>26</v>
      </c>
      <c r="D62" s="2" t="s">
        <v>27</v>
      </c>
      <c r="E62" s="2" t="s">
        <v>28</v>
      </c>
      <c r="F62" s="2" t="s">
        <v>64</v>
      </c>
      <c r="G62" s="2" t="s">
        <v>161</v>
      </c>
      <c r="H62" s="2">
        <v>0</v>
      </c>
      <c r="I62" s="2" t="s">
        <v>23</v>
      </c>
      <c r="J62" s="2">
        <v>4511</v>
      </c>
      <c r="K62" s="2">
        <v>2</v>
      </c>
      <c r="L62" s="2" t="s">
        <v>24</v>
      </c>
      <c r="M62" s="2">
        <v>4</v>
      </c>
      <c r="N62" s="2">
        <v>3</v>
      </c>
      <c r="O62" s="2">
        <v>3</v>
      </c>
      <c r="P62" s="2">
        <v>3</v>
      </c>
      <c r="Q62" s="2" t="s">
        <v>24</v>
      </c>
    </row>
    <row r="63" spans="1:17" x14ac:dyDescent="0.25">
      <c r="A63" s="2" t="s">
        <v>729</v>
      </c>
      <c r="B63" s="2">
        <v>39</v>
      </c>
      <c r="C63" s="2" t="s">
        <v>26</v>
      </c>
      <c r="D63" s="2" t="s">
        <v>33</v>
      </c>
      <c r="E63" s="2" t="s">
        <v>28</v>
      </c>
      <c r="F63" s="2" t="s">
        <v>29</v>
      </c>
      <c r="G63" s="2" t="s">
        <v>163</v>
      </c>
      <c r="H63" s="2">
        <v>5</v>
      </c>
      <c r="I63" s="2" t="s">
        <v>42</v>
      </c>
      <c r="J63" s="2">
        <v>13342</v>
      </c>
      <c r="K63" s="2">
        <v>8</v>
      </c>
      <c r="L63" s="2" t="s">
        <v>36</v>
      </c>
      <c r="M63" s="2">
        <v>4</v>
      </c>
      <c r="N63" s="2">
        <v>2</v>
      </c>
      <c r="O63" s="2">
        <v>3</v>
      </c>
      <c r="P63" s="2">
        <v>4</v>
      </c>
      <c r="Q63" s="2" t="s">
        <v>24</v>
      </c>
    </row>
    <row r="64" spans="1:17" x14ac:dyDescent="0.25">
      <c r="A64" s="2" t="s">
        <v>132</v>
      </c>
      <c r="B64" s="2">
        <v>28</v>
      </c>
      <c r="C64" s="2" t="s">
        <v>26</v>
      </c>
      <c r="D64" s="2" t="s">
        <v>33</v>
      </c>
      <c r="E64" s="2" t="s">
        <v>28</v>
      </c>
      <c r="F64" s="2" t="s">
        <v>59</v>
      </c>
      <c r="G64" s="2" t="s">
        <v>165</v>
      </c>
      <c r="H64" s="2">
        <v>1</v>
      </c>
      <c r="I64" s="2" t="s">
        <v>23</v>
      </c>
      <c r="J64" s="2">
        <v>6331</v>
      </c>
      <c r="K64" s="2">
        <v>2</v>
      </c>
      <c r="L64" s="2" t="s">
        <v>24</v>
      </c>
      <c r="M64" s="2">
        <v>3</v>
      </c>
      <c r="N64" s="2">
        <v>1</v>
      </c>
      <c r="O64" s="2">
        <v>3</v>
      </c>
      <c r="P64" s="2">
        <v>3</v>
      </c>
      <c r="Q64" s="2" t="s">
        <v>24</v>
      </c>
    </row>
    <row r="65" spans="1:17" x14ac:dyDescent="0.25">
      <c r="A65" s="2" t="s">
        <v>341</v>
      </c>
      <c r="B65" s="2">
        <v>20</v>
      </c>
      <c r="C65" s="2" t="s">
        <v>26</v>
      </c>
      <c r="D65" s="2" t="s">
        <v>33</v>
      </c>
      <c r="E65" s="2" t="s">
        <v>20</v>
      </c>
      <c r="F65" s="2" t="s">
        <v>44</v>
      </c>
      <c r="G65" s="2" t="s">
        <v>167</v>
      </c>
      <c r="H65" s="2">
        <v>0</v>
      </c>
      <c r="I65" s="2" t="s">
        <v>23</v>
      </c>
      <c r="J65" s="2">
        <v>4804</v>
      </c>
      <c r="K65" s="2">
        <v>17</v>
      </c>
      <c r="L65" s="2" t="s">
        <v>36</v>
      </c>
      <c r="M65" s="2">
        <v>2</v>
      </c>
      <c r="N65" s="2">
        <v>2</v>
      </c>
      <c r="O65" s="2">
        <v>3</v>
      </c>
      <c r="P65" s="2">
        <v>4</v>
      </c>
      <c r="Q65" s="2" t="s">
        <v>36</v>
      </c>
    </row>
    <row r="66" spans="1:17" x14ac:dyDescent="0.25">
      <c r="A66" s="2" t="s">
        <v>1034</v>
      </c>
      <c r="B66" s="2">
        <v>32</v>
      </c>
      <c r="C66" s="2" t="s">
        <v>18</v>
      </c>
      <c r="D66" s="2" t="s">
        <v>33</v>
      </c>
      <c r="E66" s="2" t="s">
        <v>20</v>
      </c>
      <c r="F66" s="2" t="s">
        <v>40</v>
      </c>
      <c r="G66" s="2" t="s">
        <v>169</v>
      </c>
      <c r="H66" s="2">
        <v>4</v>
      </c>
      <c r="I66" s="2" t="s">
        <v>42</v>
      </c>
      <c r="J66" s="2">
        <v>4472</v>
      </c>
      <c r="K66" s="2">
        <v>27</v>
      </c>
      <c r="L66" s="2" t="s">
        <v>24</v>
      </c>
      <c r="M66" s="2">
        <v>4</v>
      </c>
      <c r="N66" s="2">
        <v>3</v>
      </c>
      <c r="O66" s="2">
        <v>3</v>
      </c>
      <c r="P66" s="2">
        <v>0</v>
      </c>
      <c r="Q66" s="2" t="s">
        <v>24</v>
      </c>
    </row>
    <row r="67" spans="1:17" x14ac:dyDescent="0.25">
      <c r="A67" s="2" t="s">
        <v>608</v>
      </c>
      <c r="B67" s="2">
        <v>39</v>
      </c>
      <c r="C67" s="2" t="s">
        <v>18</v>
      </c>
      <c r="D67" s="2" t="s">
        <v>19</v>
      </c>
      <c r="E67" s="2" t="s">
        <v>28</v>
      </c>
      <c r="F67" s="2" t="s">
        <v>34</v>
      </c>
      <c r="G67" s="2" t="s">
        <v>171</v>
      </c>
      <c r="H67" s="2">
        <v>6</v>
      </c>
      <c r="I67" s="2" t="s">
        <v>31</v>
      </c>
      <c r="J67" s="2">
        <v>3584</v>
      </c>
      <c r="K67" s="2">
        <v>3</v>
      </c>
      <c r="L67" s="2" t="s">
        <v>24</v>
      </c>
      <c r="M67" s="2">
        <v>4</v>
      </c>
      <c r="N67" s="2">
        <v>3</v>
      </c>
      <c r="O67" s="2">
        <v>4</v>
      </c>
      <c r="P67" s="2">
        <v>5</v>
      </c>
      <c r="Q67" s="2" t="s">
        <v>24</v>
      </c>
    </row>
    <row r="68" spans="1:17" x14ac:dyDescent="0.25">
      <c r="A68" s="2" t="s">
        <v>459</v>
      </c>
      <c r="B68" s="2">
        <v>33</v>
      </c>
      <c r="C68" s="2" t="s">
        <v>26</v>
      </c>
      <c r="D68" s="2" t="s">
        <v>19</v>
      </c>
      <c r="E68" s="2" t="s">
        <v>28</v>
      </c>
      <c r="F68" s="2" t="s">
        <v>64</v>
      </c>
      <c r="G68" s="2" t="s">
        <v>173</v>
      </c>
      <c r="H68" s="2">
        <v>0</v>
      </c>
      <c r="I68" s="2" t="s">
        <v>23</v>
      </c>
      <c r="J68" s="2">
        <v>5089</v>
      </c>
      <c r="K68" s="2">
        <v>1</v>
      </c>
      <c r="L68" s="2" t="s">
        <v>24</v>
      </c>
      <c r="M68" s="2">
        <v>4</v>
      </c>
      <c r="N68" s="2">
        <v>4</v>
      </c>
      <c r="O68" s="2">
        <v>3</v>
      </c>
      <c r="P68" s="2">
        <v>4</v>
      </c>
      <c r="Q68" s="2" t="s">
        <v>24</v>
      </c>
    </row>
    <row r="69" spans="1:17" x14ac:dyDescent="0.25">
      <c r="A69" s="2" t="s">
        <v>1065</v>
      </c>
      <c r="B69" s="2">
        <v>42</v>
      </c>
      <c r="C69" s="2" t="s">
        <v>26</v>
      </c>
      <c r="D69" s="2" t="s">
        <v>27</v>
      </c>
      <c r="E69" s="2" t="s">
        <v>110</v>
      </c>
      <c r="F69" s="2" t="s">
        <v>111</v>
      </c>
      <c r="G69" s="2" t="s">
        <v>175</v>
      </c>
      <c r="H69" s="2">
        <v>0</v>
      </c>
      <c r="I69" s="2" t="s">
        <v>23</v>
      </c>
      <c r="J69" s="2">
        <v>3682</v>
      </c>
      <c r="K69" s="2">
        <v>2</v>
      </c>
      <c r="L69" s="2" t="s">
        <v>24</v>
      </c>
      <c r="M69" s="2">
        <v>4</v>
      </c>
      <c r="N69" s="2">
        <v>3</v>
      </c>
      <c r="O69" s="2">
        <v>3</v>
      </c>
      <c r="P69" s="2">
        <v>3</v>
      </c>
      <c r="Q69" s="2" t="s">
        <v>24</v>
      </c>
    </row>
    <row r="70" spans="1:17" x14ac:dyDescent="0.25">
      <c r="A70" s="2" t="s">
        <v>894</v>
      </c>
      <c r="B70" s="2">
        <v>40</v>
      </c>
      <c r="C70" s="2" t="s">
        <v>18</v>
      </c>
      <c r="D70" s="2" t="s">
        <v>19</v>
      </c>
      <c r="E70" s="2" t="s">
        <v>28</v>
      </c>
      <c r="F70" s="2" t="s">
        <v>59</v>
      </c>
      <c r="G70" s="2" t="s">
        <v>177</v>
      </c>
      <c r="H70" s="2">
        <v>17</v>
      </c>
      <c r="I70" s="2" t="s">
        <v>92</v>
      </c>
      <c r="J70" s="2">
        <v>7244</v>
      </c>
      <c r="K70" s="2">
        <v>6</v>
      </c>
      <c r="L70" s="2" t="s">
        <v>24</v>
      </c>
      <c r="M70" s="2">
        <v>2</v>
      </c>
      <c r="N70" s="2">
        <v>4</v>
      </c>
      <c r="O70" s="2">
        <v>3</v>
      </c>
      <c r="P70" s="2">
        <v>3</v>
      </c>
      <c r="Q70" s="2" t="s">
        <v>24</v>
      </c>
    </row>
    <row r="71" spans="1:17" x14ac:dyDescent="0.25">
      <c r="A71" s="2" t="s">
        <v>831</v>
      </c>
      <c r="B71" s="2">
        <v>28</v>
      </c>
      <c r="C71" s="2" t="s">
        <v>26</v>
      </c>
      <c r="D71" s="2" t="s">
        <v>19</v>
      </c>
      <c r="E71" s="2" t="s">
        <v>20</v>
      </c>
      <c r="F71" s="2" t="s">
        <v>40</v>
      </c>
      <c r="G71" s="2" t="s">
        <v>179</v>
      </c>
      <c r="H71" s="2">
        <v>4</v>
      </c>
      <c r="I71" s="2" t="s">
        <v>42</v>
      </c>
      <c r="J71" s="2">
        <v>3655</v>
      </c>
      <c r="K71" s="2">
        <v>1</v>
      </c>
      <c r="L71" s="2" t="s">
        <v>36</v>
      </c>
      <c r="M71" s="2">
        <v>2</v>
      </c>
      <c r="N71" s="2">
        <v>4</v>
      </c>
      <c r="O71" s="2">
        <v>3</v>
      </c>
      <c r="P71" s="2">
        <v>3</v>
      </c>
      <c r="Q71" s="2" t="s">
        <v>36</v>
      </c>
    </row>
    <row r="72" spans="1:17" x14ac:dyDescent="0.25">
      <c r="A72" s="2" t="s">
        <v>673</v>
      </c>
      <c r="B72" s="2">
        <v>40</v>
      </c>
      <c r="C72" s="2" t="s">
        <v>18</v>
      </c>
      <c r="D72" s="2" t="s">
        <v>33</v>
      </c>
      <c r="E72" s="2" t="s">
        <v>20</v>
      </c>
      <c r="F72" s="2" t="s">
        <v>44</v>
      </c>
      <c r="G72" s="2" t="s">
        <v>181</v>
      </c>
      <c r="H72" s="2">
        <v>10</v>
      </c>
      <c r="I72" s="2" t="s">
        <v>31</v>
      </c>
      <c r="J72" s="2">
        <v>7446</v>
      </c>
      <c r="K72" s="2">
        <v>6</v>
      </c>
      <c r="L72" s="2" t="s">
        <v>36</v>
      </c>
      <c r="M72" s="2">
        <v>1</v>
      </c>
      <c r="N72" s="2">
        <v>2</v>
      </c>
      <c r="O72" s="2">
        <v>3</v>
      </c>
      <c r="P72" s="2">
        <v>0</v>
      </c>
      <c r="Q72" s="2" t="s">
        <v>24</v>
      </c>
    </row>
    <row r="73" spans="1:17" x14ac:dyDescent="0.25">
      <c r="A73" s="2" t="s">
        <v>511</v>
      </c>
      <c r="B73" s="2">
        <v>29</v>
      </c>
      <c r="C73" s="2" t="s">
        <v>18</v>
      </c>
      <c r="D73" s="2" t="s">
        <v>33</v>
      </c>
      <c r="E73" s="2" t="s">
        <v>28</v>
      </c>
      <c r="F73" s="2" t="s">
        <v>34</v>
      </c>
      <c r="G73" s="2" t="s">
        <v>183</v>
      </c>
      <c r="H73" s="2">
        <v>6</v>
      </c>
      <c r="I73" s="2" t="s">
        <v>31</v>
      </c>
      <c r="J73" s="2">
        <v>3924</v>
      </c>
      <c r="K73" s="2">
        <v>30</v>
      </c>
      <c r="L73" s="2" t="s">
        <v>36</v>
      </c>
      <c r="M73" s="2">
        <v>4</v>
      </c>
      <c r="N73" s="2">
        <v>3</v>
      </c>
      <c r="O73" s="2">
        <v>3</v>
      </c>
      <c r="P73" s="2">
        <v>0</v>
      </c>
      <c r="Q73" s="2" t="s">
        <v>24</v>
      </c>
    </row>
    <row r="74" spans="1:17" x14ac:dyDescent="0.25">
      <c r="A74" s="2" t="s">
        <v>469</v>
      </c>
      <c r="B74" s="2">
        <v>25</v>
      </c>
      <c r="C74" s="2" t="s">
        <v>18</v>
      </c>
      <c r="D74" s="2" t="s">
        <v>33</v>
      </c>
      <c r="E74" s="2" t="s">
        <v>28</v>
      </c>
      <c r="F74" s="2" t="s">
        <v>64</v>
      </c>
      <c r="G74" s="2" t="s">
        <v>185</v>
      </c>
      <c r="H74" s="2">
        <v>2</v>
      </c>
      <c r="I74" s="2" t="s">
        <v>23</v>
      </c>
      <c r="J74" s="2">
        <v>5399</v>
      </c>
      <c r="K74" s="2">
        <v>7</v>
      </c>
      <c r="L74" s="2" t="s">
        <v>24</v>
      </c>
      <c r="M74" s="2">
        <v>2</v>
      </c>
      <c r="N74" s="2">
        <v>1</v>
      </c>
      <c r="O74" s="2">
        <v>3</v>
      </c>
      <c r="P74" s="2">
        <v>2</v>
      </c>
      <c r="Q74" s="2" t="s">
        <v>24</v>
      </c>
    </row>
    <row r="75" spans="1:17" x14ac:dyDescent="0.25">
      <c r="A75" s="2" t="s">
        <v>558</v>
      </c>
      <c r="B75" s="2">
        <v>33</v>
      </c>
      <c r="C75" s="2" t="s">
        <v>26</v>
      </c>
      <c r="D75" s="2" t="s">
        <v>19</v>
      </c>
      <c r="E75" s="2" t="s">
        <v>28</v>
      </c>
      <c r="F75" s="2" t="s">
        <v>29</v>
      </c>
      <c r="G75" s="2" t="s">
        <v>187</v>
      </c>
      <c r="H75" s="2">
        <v>0</v>
      </c>
      <c r="I75" s="2" t="s">
        <v>23</v>
      </c>
      <c r="J75" s="2">
        <v>12598</v>
      </c>
      <c r="K75" s="2">
        <v>5</v>
      </c>
      <c r="L75" s="2" t="s">
        <v>36</v>
      </c>
      <c r="M75" s="2">
        <v>2</v>
      </c>
      <c r="N75" s="2">
        <v>2</v>
      </c>
      <c r="O75" s="2">
        <v>3</v>
      </c>
      <c r="P75" s="2">
        <v>4</v>
      </c>
      <c r="Q75" s="2" t="s">
        <v>36</v>
      </c>
    </row>
    <row r="76" spans="1:17" x14ac:dyDescent="0.25">
      <c r="A76" s="2" t="s">
        <v>265</v>
      </c>
      <c r="B76" s="2">
        <v>48</v>
      </c>
      <c r="C76" s="2" t="s">
        <v>18</v>
      </c>
      <c r="D76" s="2" t="s">
        <v>33</v>
      </c>
      <c r="E76" s="2" t="s">
        <v>110</v>
      </c>
      <c r="F76" s="2" t="s">
        <v>189</v>
      </c>
      <c r="G76" s="2" t="s">
        <v>190</v>
      </c>
      <c r="H76" s="2">
        <v>8</v>
      </c>
      <c r="I76" s="2" t="s">
        <v>31</v>
      </c>
      <c r="J76" s="2">
        <v>4269</v>
      </c>
      <c r="K76" s="2">
        <v>6</v>
      </c>
      <c r="L76" s="2" t="s">
        <v>24</v>
      </c>
      <c r="M76" s="2">
        <v>4</v>
      </c>
      <c r="N76" s="2">
        <v>2</v>
      </c>
      <c r="O76" s="2">
        <v>4</v>
      </c>
      <c r="P76" s="2">
        <v>3</v>
      </c>
      <c r="Q76" s="2" t="s">
        <v>24</v>
      </c>
    </row>
    <row r="77" spans="1:17" x14ac:dyDescent="0.25">
      <c r="A77" s="2" t="s">
        <v>524</v>
      </c>
      <c r="B77" s="2">
        <v>20</v>
      </c>
      <c r="C77" s="2" t="s">
        <v>18</v>
      </c>
      <c r="D77" s="2" t="s">
        <v>33</v>
      </c>
      <c r="E77" s="2" t="s">
        <v>20</v>
      </c>
      <c r="F77" s="2" t="s">
        <v>40</v>
      </c>
      <c r="G77" s="2" t="s">
        <v>192</v>
      </c>
      <c r="H77" s="2">
        <v>4</v>
      </c>
      <c r="I77" s="2" t="s">
        <v>42</v>
      </c>
      <c r="J77" s="2">
        <v>3896</v>
      </c>
      <c r="K77" s="2">
        <v>18</v>
      </c>
      <c r="L77" s="2" t="s">
        <v>24</v>
      </c>
      <c r="M77" s="2">
        <v>4</v>
      </c>
      <c r="N77" s="2">
        <v>3</v>
      </c>
      <c r="O77" s="2">
        <v>3</v>
      </c>
      <c r="P77" s="2">
        <v>4</v>
      </c>
      <c r="Q77" s="2" t="s">
        <v>24</v>
      </c>
    </row>
    <row r="78" spans="1:17" x14ac:dyDescent="0.25">
      <c r="A78" s="2" t="s">
        <v>880</v>
      </c>
      <c r="B78" s="2">
        <v>42</v>
      </c>
      <c r="C78" s="2" t="s">
        <v>26</v>
      </c>
      <c r="D78" s="2" t="s">
        <v>27</v>
      </c>
      <c r="E78" s="2" t="s">
        <v>28</v>
      </c>
      <c r="F78" s="2" t="s">
        <v>34</v>
      </c>
      <c r="G78" s="2" t="s">
        <v>194</v>
      </c>
      <c r="H78" s="2">
        <v>2</v>
      </c>
      <c r="I78" s="2" t="s">
        <v>23</v>
      </c>
      <c r="J78" s="2">
        <v>3264</v>
      </c>
      <c r="K78" s="2">
        <v>1</v>
      </c>
      <c r="L78" s="2" t="s">
        <v>24</v>
      </c>
      <c r="M78" s="2">
        <v>3</v>
      </c>
      <c r="N78" s="2">
        <v>3</v>
      </c>
      <c r="O78" s="2">
        <v>3</v>
      </c>
      <c r="P78" s="2">
        <v>2</v>
      </c>
      <c r="Q78" s="2" t="s">
        <v>24</v>
      </c>
    </row>
    <row r="79" spans="1:17" x14ac:dyDescent="0.25">
      <c r="A79" s="2" t="s">
        <v>492</v>
      </c>
      <c r="B79" s="2">
        <v>40</v>
      </c>
      <c r="C79" s="2" t="s">
        <v>18</v>
      </c>
      <c r="D79" s="2" t="s">
        <v>33</v>
      </c>
      <c r="E79" s="2" t="s">
        <v>28</v>
      </c>
      <c r="F79" s="2" t="s">
        <v>29</v>
      </c>
      <c r="G79" s="2" t="s">
        <v>196</v>
      </c>
      <c r="H79" s="2">
        <v>2</v>
      </c>
      <c r="I79" s="2" t="s">
        <v>23</v>
      </c>
      <c r="J79" s="2">
        <v>9427</v>
      </c>
      <c r="K79" s="2">
        <v>2</v>
      </c>
      <c r="L79" s="2" t="s">
        <v>24</v>
      </c>
      <c r="M79" s="2">
        <v>4</v>
      </c>
      <c r="N79" s="2">
        <v>3</v>
      </c>
      <c r="O79" s="2">
        <v>3</v>
      </c>
      <c r="P79" s="2">
        <v>2</v>
      </c>
      <c r="Q79" s="2" t="s">
        <v>24</v>
      </c>
    </row>
    <row r="80" spans="1:17" x14ac:dyDescent="0.25">
      <c r="A80" s="2" t="s">
        <v>902</v>
      </c>
      <c r="B80" s="2">
        <v>37</v>
      </c>
      <c r="C80" s="2" t="s">
        <v>26</v>
      </c>
      <c r="D80" s="2" t="s">
        <v>19</v>
      </c>
      <c r="E80" s="2" t="s">
        <v>28</v>
      </c>
      <c r="F80" s="2" t="s">
        <v>59</v>
      </c>
      <c r="G80" s="2" t="s">
        <v>198</v>
      </c>
      <c r="H80" s="2">
        <v>4</v>
      </c>
      <c r="I80" s="2" t="s">
        <v>42</v>
      </c>
      <c r="J80" s="2">
        <v>5587</v>
      </c>
      <c r="K80" s="2">
        <v>22</v>
      </c>
      <c r="L80" s="2" t="s">
        <v>36</v>
      </c>
      <c r="M80" s="2">
        <v>4</v>
      </c>
      <c r="N80" s="2">
        <v>2</v>
      </c>
      <c r="O80" s="2">
        <v>3</v>
      </c>
      <c r="P80" s="2">
        <v>3</v>
      </c>
      <c r="Q80" s="2" t="s">
        <v>24</v>
      </c>
    </row>
    <row r="81" spans="1:17" x14ac:dyDescent="0.25">
      <c r="A81" s="2" t="s">
        <v>617</v>
      </c>
      <c r="B81" s="2">
        <v>20</v>
      </c>
      <c r="C81" s="2" t="s">
        <v>18</v>
      </c>
      <c r="D81" s="2" t="s">
        <v>19</v>
      </c>
      <c r="E81" s="2" t="s">
        <v>110</v>
      </c>
      <c r="F81" s="2" t="s">
        <v>111</v>
      </c>
      <c r="G81" s="2" t="s">
        <v>200</v>
      </c>
      <c r="H81" s="2">
        <v>2</v>
      </c>
      <c r="I81" s="2" t="s">
        <v>23</v>
      </c>
      <c r="J81" s="2">
        <v>4120</v>
      </c>
      <c r="K81" s="2">
        <v>4</v>
      </c>
      <c r="L81" s="2" t="s">
        <v>36</v>
      </c>
      <c r="M81" s="2">
        <v>3</v>
      </c>
      <c r="N81" s="2">
        <v>1</v>
      </c>
      <c r="O81" s="2">
        <v>3</v>
      </c>
      <c r="P81" s="2">
        <v>3</v>
      </c>
      <c r="Q81" s="2" t="s">
        <v>24</v>
      </c>
    </row>
    <row r="82" spans="1:17" x14ac:dyDescent="0.25">
      <c r="A82" s="2" t="s">
        <v>303</v>
      </c>
      <c r="B82" s="2">
        <v>26</v>
      </c>
      <c r="C82" s="2" t="s">
        <v>26</v>
      </c>
      <c r="D82" s="2" t="s">
        <v>19</v>
      </c>
      <c r="E82" s="2" t="s">
        <v>20</v>
      </c>
      <c r="F82" s="2" t="s">
        <v>21</v>
      </c>
      <c r="G82" s="2" t="s">
        <v>202</v>
      </c>
      <c r="H82" s="2">
        <v>4</v>
      </c>
      <c r="I82" s="2" t="s">
        <v>42</v>
      </c>
      <c r="J82" s="2">
        <v>13165</v>
      </c>
      <c r="K82" s="2">
        <v>1</v>
      </c>
      <c r="L82" s="2" t="s">
        <v>24</v>
      </c>
      <c r="M82" s="2">
        <v>3</v>
      </c>
      <c r="N82" s="2">
        <v>3</v>
      </c>
      <c r="O82" s="2">
        <v>4</v>
      </c>
      <c r="P82" s="2">
        <v>2</v>
      </c>
      <c r="Q82" s="2" t="s">
        <v>36</v>
      </c>
    </row>
    <row r="83" spans="1:17" x14ac:dyDescent="0.25">
      <c r="A83" s="2" t="s">
        <v>347</v>
      </c>
      <c r="B83" s="2">
        <v>20</v>
      </c>
      <c r="C83" s="2" t="s">
        <v>18</v>
      </c>
      <c r="D83" s="2" t="s">
        <v>27</v>
      </c>
      <c r="E83" s="2" t="s">
        <v>20</v>
      </c>
      <c r="F83" s="2" t="s">
        <v>21</v>
      </c>
      <c r="G83" s="2" t="s">
        <v>204</v>
      </c>
      <c r="H83" s="2">
        <v>10</v>
      </c>
      <c r="I83" s="2" t="s">
        <v>31</v>
      </c>
      <c r="J83" s="2">
        <v>13049</v>
      </c>
      <c r="K83" s="2">
        <v>1</v>
      </c>
      <c r="L83" s="2" t="s">
        <v>36</v>
      </c>
      <c r="M83" s="2">
        <v>1</v>
      </c>
      <c r="N83" s="2">
        <v>3</v>
      </c>
      <c r="O83" s="2">
        <v>3</v>
      </c>
      <c r="P83" s="2">
        <v>2</v>
      </c>
      <c r="Q83" s="2" t="s">
        <v>24</v>
      </c>
    </row>
    <row r="84" spans="1:17" x14ac:dyDescent="0.25">
      <c r="A84" s="2" t="s">
        <v>615</v>
      </c>
      <c r="B84" s="2">
        <v>44</v>
      </c>
      <c r="C84" s="2" t="s">
        <v>18</v>
      </c>
      <c r="D84" s="2" t="s">
        <v>19</v>
      </c>
      <c r="E84" s="2" t="s">
        <v>20</v>
      </c>
      <c r="F84" s="2" t="s">
        <v>40</v>
      </c>
      <c r="G84" s="2" t="s">
        <v>206</v>
      </c>
      <c r="H84" s="2">
        <v>8</v>
      </c>
      <c r="I84" s="2" t="s">
        <v>31</v>
      </c>
      <c r="J84" s="2">
        <v>3832</v>
      </c>
      <c r="K84" s="2">
        <v>3</v>
      </c>
      <c r="L84" s="2" t="s">
        <v>24</v>
      </c>
      <c r="M84" s="2">
        <v>3</v>
      </c>
      <c r="N84" s="2">
        <v>4</v>
      </c>
      <c r="O84" s="2">
        <v>3</v>
      </c>
      <c r="P84" s="2">
        <v>3</v>
      </c>
      <c r="Q84" s="2" t="s">
        <v>24</v>
      </c>
    </row>
    <row r="85" spans="1:17" x14ac:dyDescent="0.25">
      <c r="A85" s="2" t="s">
        <v>1013</v>
      </c>
      <c r="B85" s="2">
        <v>40</v>
      </c>
      <c r="C85" s="2" t="s">
        <v>18</v>
      </c>
      <c r="D85" s="2" t="s">
        <v>19</v>
      </c>
      <c r="E85" s="2" t="s">
        <v>110</v>
      </c>
      <c r="F85" s="2" t="s">
        <v>189</v>
      </c>
      <c r="G85" s="2" t="s">
        <v>208</v>
      </c>
      <c r="H85" s="2">
        <v>2</v>
      </c>
      <c r="I85" s="2" t="s">
        <v>23</v>
      </c>
      <c r="J85" s="2">
        <v>4898</v>
      </c>
      <c r="K85" s="2">
        <v>9</v>
      </c>
      <c r="L85" s="2" t="s">
        <v>24</v>
      </c>
      <c r="M85" s="2">
        <v>1</v>
      </c>
      <c r="N85" s="2">
        <v>4</v>
      </c>
      <c r="O85" s="2">
        <v>3</v>
      </c>
      <c r="P85" s="2">
        <v>5</v>
      </c>
      <c r="Q85" s="2" t="s">
        <v>24</v>
      </c>
    </row>
    <row r="86" spans="1:17" x14ac:dyDescent="0.25">
      <c r="A86" s="2" t="s">
        <v>725</v>
      </c>
      <c r="B86" s="2">
        <v>37</v>
      </c>
      <c r="C86" s="2" t="s">
        <v>26</v>
      </c>
      <c r="D86" s="2" t="s">
        <v>33</v>
      </c>
      <c r="E86" s="2" t="s">
        <v>28</v>
      </c>
      <c r="F86" s="2" t="s">
        <v>34</v>
      </c>
      <c r="G86" s="2" t="s">
        <v>210</v>
      </c>
      <c r="H86" s="2">
        <v>5</v>
      </c>
      <c r="I86" s="2" t="s">
        <v>42</v>
      </c>
      <c r="J86" s="2">
        <v>3881</v>
      </c>
      <c r="K86" s="2">
        <v>7</v>
      </c>
      <c r="L86" s="2" t="s">
        <v>24</v>
      </c>
      <c r="M86" s="2">
        <v>1</v>
      </c>
      <c r="N86" s="2">
        <v>2</v>
      </c>
      <c r="O86" s="2">
        <v>3</v>
      </c>
      <c r="P86" s="2">
        <v>5</v>
      </c>
      <c r="Q86" s="2" t="s">
        <v>24</v>
      </c>
    </row>
    <row r="87" spans="1:17" x14ac:dyDescent="0.25">
      <c r="A87" s="2" t="s">
        <v>663</v>
      </c>
      <c r="B87" s="2">
        <v>50</v>
      </c>
      <c r="C87" s="2" t="s">
        <v>18</v>
      </c>
      <c r="D87" s="2" t="s">
        <v>27</v>
      </c>
      <c r="E87" s="2" t="s">
        <v>20</v>
      </c>
      <c r="F87" s="2" t="s">
        <v>21</v>
      </c>
      <c r="G87" s="2" t="s">
        <v>212</v>
      </c>
      <c r="H87" s="2">
        <v>3</v>
      </c>
      <c r="I87" s="2" t="s">
        <v>42</v>
      </c>
      <c r="J87" s="2">
        <v>11402</v>
      </c>
      <c r="K87" s="2">
        <v>1</v>
      </c>
      <c r="L87" s="2" t="s">
        <v>24</v>
      </c>
      <c r="M87" s="2">
        <v>3</v>
      </c>
      <c r="N87" s="2">
        <v>3</v>
      </c>
      <c r="O87" s="2">
        <v>3</v>
      </c>
      <c r="P87" s="2">
        <v>1</v>
      </c>
      <c r="Q87" s="2" t="s">
        <v>24</v>
      </c>
    </row>
    <row r="88" spans="1:17" x14ac:dyDescent="0.25">
      <c r="A88" s="2" t="s">
        <v>811</v>
      </c>
      <c r="B88" s="2">
        <v>33</v>
      </c>
      <c r="C88" s="2" t="s">
        <v>26</v>
      </c>
      <c r="D88" s="2" t="s">
        <v>27</v>
      </c>
      <c r="E88" s="2" t="s">
        <v>20</v>
      </c>
      <c r="F88" s="2" t="s">
        <v>40</v>
      </c>
      <c r="G88" s="2" t="s">
        <v>214</v>
      </c>
      <c r="H88" s="2">
        <v>3</v>
      </c>
      <c r="I88" s="2" t="s">
        <v>42</v>
      </c>
      <c r="J88" s="2">
        <v>3225</v>
      </c>
      <c r="K88" s="2">
        <v>1</v>
      </c>
      <c r="L88" s="2" t="s">
        <v>24</v>
      </c>
      <c r="M88" s="2">
        <v>4</v>
      </c>
      <c r="N88" s="2">
        <v>2</v>
      </c>
      <c r="O88" s="2">
        <v>3</v>
      </c>
      <c r="P88" s="2">
        <v>3</v>
      </c>
      <c r="Q88" s="2" t="s">
        <v>36</v>
      </c>
    </row>
    <row r="89" spans="1:17" x14ac:dyDescent="0.25">
      <c r="A89" s="2" t="s">
        <v>541</v>
      </c>
      <c r="B89" s="2">
        <v>32</v>
      </c>
      <c r="C89" s="2" t="s">
        <v>18</v>
      </c>
      <c r="D89" s="2" t="s">
        <v>33</v>
      </c>
      <c r="E89" s="2" t="s">
        <v>28</v>
      </c>
      <c r="F89" s="2" t="s">
        <v>34</v>
      </c>
      <c r="G89" s="2" t="s">
        <v>216</v>
      </c>
      <c r="H89" s="2">
        <v>5</v>
      </c>
      <c r="I89" s="2" t="s">
        <v>42</v>
      </c>
      <c r="J89" s="2">
        <v>2532</v>
      </c>
      <c r="K89" s="2">
        <v>4</v>
      </c>
      <c r="L89" s="2" t="s">
        <v>36</v>
      </c>
      <c r="M89" s="2">
        <v>4</v>
      </c>
      <c r="N89" s="2">
        <v>2</v>
      </c>
      <c r="O89" s="2">
        <v>3</v>
      </c>
      <c r="P89" s="2">
        <v>2</v>
      </c>
      <c r="Q89" s="2" t="s">
        <v>36</v>
      </c>
    </row>
    <row r="90" spans="1:17" x14ac:dyDescent="0.25">
      <c r="A90" s="2" t="s">
        <v>229</v>
      </c>
      <c r="B90" s="2">
        <v>38</v>
      </c>
      <c r="C90" s="2" t="s">
        <v>18</v>
      </c>
      <c r="D90" s="2" t="s">
        <v>33</v>
      </c>
      <c r="E90" s="2" t="s">
        <v>28</v>
      </c>
      <c r="F90" s="2" t="s">
        <v>29</v>
      </c>
      <c r="G90" s="2" t="s">
        <v>218</v>
      </c>
      <c r="H90" s="2">
        <v>5</v>
      </c>
      <c r="I90" s="2" t="s">
        <v>42</v>
      </c>
      <c r="J90" s="2">
        <v>11803</v>
      </c>
      <c r="K90" s="2">
        <v>1</v>
      </c>
      <c r="L90" s="2" t="s">
        <v>24</v>
      </c>
      <c r="M90" s="2">
        <v>4</v>
      </c>
      <c r="N90" s="2">
        <v>3</v>
      </c>
      <c r="O90" s="2">
        <v>3</v>
      </c>
      <c r="P90" s="2">
        <v>1</v>
      </c>
      <c r="Q90" s="2" t="s">
        <v>24</v>
      </c>
    </row>
    <row r="91" spans="1:17" x14ac:dyDescent="0.25">
      <c r="A91" s="2" t="s">
        <v>209</v>
      </c>
      <c r="B91" s="2">
        <v>49</v>
      </c>
      <c r="C91" s="2" t="s">
        <v>26</v>
      </c>
      <c r="D91" s="2" t="s">
        <v>27</v>
      </c>
      <c r="E91" s="2" t="s">
        <v>28</v>
      </c>
      <c r="F91" s="2" t="s">
        <v>64</v>
      </c>
      <c r="G91" s="2" t="s">
        <v>220</v>
      </c>
      <c r="H91" s="2">
        <v>9</v>
      </c>
      <c r="I91" s="2" t="s">
        <v>31</v>
      </c>
      <c r="J91" s="2">
        <v>5542</v>
      </c>
      <c r="K91" s="2">
        <v>1</v>
      </c>
      <c r="L91" s="2" t="s">
        <v>24</v>
      </c>
      <c r="M91" s="2">
        <v>1</v>
      </c>
      <c r="N91" s="2">
        <v>4</v>
      </c>
      <c r="O91" s="2">
        <v>3</v>
      </c>
      <c r="P91" s="2">
        <v>1</v>
      </c>
      <c r="Q91" s="2" t="s">
        <v>24</v>
      </c>
    </row>
    <row r="92" spans="1:17" x14ac:dyDescent="0.25">
      <c r="A92" s="2" t="s">
        <v>117</v>
      </c>
      <c r="B92" s="2">
        <v>37</v>
      </c>
      <c r="C92" s="2" t="s">
        <v>18</v>
      </c>
      <c r="D92" s="2" t="s">
        <v>19</v>
      </c>
      <c r="E92" s="2" t="s">
        <v>20</v>
      </c>
      <c r="F92" s="2" t="s">
        <v>40</v>
      </c>
      <c r="G92" s="2" t="s">
        <v>222</v>
      </c>
      <c r="H92" s="2">
        <v>1</v>
      </c>
      <c r="I92" s="2" t="s">
        <v>23</v>
      </c>
      <c r="J92" s="2">
        <v>4044</v>
      </c>
      <c r="K92" s="2">
        <v>7</v>
      </c>
      <c r="L92" s="2" t="s">
        <v>24</v>
      </c>
      <c r="M92" s="2">
        <v>2</v>
      </c>
      <c r="N92" s="2">
        <v>4</v>
      </c>
      <c r="O92" s="2">
        <v>3</v>
      </c>
      <c r="P92" s="2">
        <v>4</v>
      </c>
      <c r="Q92" s="2" t="s">
        <v>24</v>
      </c>
    </row>
    <row r="93" spans="1:17" x14ac:dyDescent="0.25">
      <c r="A93" s="2" t="s">
        <v>951</v>
      </c>
      <c r="B93" s="2">
        <v>41</v>
      </c>
      <c r="C93" s="2" t="s">
        <v>18</v>
      </c>
      <c r="D93" s="2" t="s">
        <v>33</v>
      </c>
      <c r="E93" s="2" t="s">
        <v>28</v>
      </c>
      <c r="F93" s="2" t="s">
        <v>34</v>
      </c>
      <c r="G93" s="2" t="s">
        <v>224</v>
      </c>
      <c r="H93" s="2">
        <v>0</v>
      </c>
      <c r="I93" s="2" t="s">
        <v>23</v>
      </c>
      <c r="J93" s="2">
        <v>3060</v>
      </c>
      <c r="K93" s="2">
        <v>13</v>
      </c>
      <c r="L93" s="2" t="s">
        <v>24</v>
      </c>
      <c r="M93" s="2">
        <v>3</v>
      </c>
      <c r="N93" s="2">
        <v>2</v>
      </c>
      <c r="O93" s="2">
        <v>3</v>
      </c>
      <c r="P93" s="2">
        <v>2</v>
      </c>
      <c r="Q93" s="2" t="s">
        <v>24</v>
      </c>
    </row>
    <row r="94" spans="1:17" x14ac:dyDescent="0.25">
      <c r="A94" s="2" t="s">
        <v>70</v>
      </c>
      <c r="B94" s="2">
        <v>31</v>
      </c>
      <c r="C94" s="2" t="s">
        <v>26</v>
      </c>
      <c r="D94" s="2" t="s">
        <v>27</v>
      </c>
      <c r="E94" s="2" t="s">
        <v>20</v>
      </c>
      <c r="F94" s="2" t="s">
        <v>21</v>
      </c>
      <c r="G94" s="2" t="s">
        <v>226</v>
      </c>
      <c r="H94" s="2">
        <v>0</v>
      </c>
      <c r="I94" s="2" t="s">
        <v>23</v>
      </c>
      <c r="J94" s="2">
        <v>11223</v>
      </c>
      <c r="K94" s="2">
        <v>8</v>
      </c>
      <c r="L94" s="2" t="s">
        <v>24</v>
      </c>
      <c r="M94" s="2">
        <v>2</v>
      </c>
      <c r="N94" s="2">
        <v>2</v>
      </c>
      <c r="O94" s="2">
        <v>4</v>
      </c>
      <c r="P94" s="2">
        <v>4</v>
      </c>
      <c r="Q94" s="2" t="s">
        <v>24</v>
      </c>
    </row>
    <row r="95" spans="1:17" x14ac:dyDescent="0.25">
      <c r="A95" s="2" t="s">
        <v>623</v>
      </c>
      <c r="B95" s="2">
        <v>47</v>
      </c>
      <c r="C95" s="2" t="s">
        <v>26</v>
      </c>
      <c r="D95" s="2" t="s">
        <v>33</v>
      </c>
      <c r="E95" s="2" t="s">
        <v>110</v>
      </c>
      <c r="F95" s="2" t="s">
        <v>189</v>
      </c>
      <c r="G95" s="2" t="s">
        <v>228</v>
      </c>
      <c r="H95" s="2">
        <v>0</v>
      </c>
      <c r="I95" s="2" t="s">
        <v>23</v>
      </c>
      <c r="J95" s="2">
        <v>4202</v>
      </c>
      <c r="K95" s="2">
        <v>4</v>
      </c>
      <c r="L95" s="2" t="s">
        <v>36</v>
      </c>
      <c r="M95" s="2">
        <v>4</v>
      </c>
      <c r="N95" s="2">
        <v>3</v>
      </c>
      <c r="O95" s="2">
        <v>3</v>
      </c>
      <c r="P95" s="2">
        <v>0</v>
      </c>
      <c r="Q95" s="2" t="s">
        <v>24</v>
      </c>
    </row>
    <row r="96" spans="1:17" x14ac:dyDescent="0.25">
      <c r="A96" s="2" t="s">
        <v>556</v>
      </c>
      <c r="B96" s="2">
        <v>46</v>
      </c>
      <c r="C96" s="2" t="s">
        <v>26</v>
      </c>
      <c r="D96" s="2" t="s">
        <v>33</v>
      </c>
      <c r="E96" s="2" t="s">
        <v>20</v>
      </c>
      <c r="F96" s="2" t="s">
        <v>21</v>
      </c>
      <c r="G96" s="2" t="s">
        <v>230</v>
      </c>
      <c r="H96" s="2">
        <v>2</v>
      </c>
      <c r="I96" s="2" t="s">
        <v>23</v>
      </c>
      <c r="J96" s="2">
        <v>8930</v>
      </c>
      <c r="K96" s="2">
        <v>2</v>
      </c>
      <c r="L96" s="2" t="s">
        <v>24</v>
      </c>
      <c r="M96" s="2">
        <v>3</v>
      </c>
      <c r="N96" s="2">
        <v>4</v>
      </c>
      <c r="O96" s="2">
        <v>4</v>
      </c>
      <c r="P96" s="2">
        <v>4</v>
      </c>
      <c r="Q96" s="2" t="s">
        <v>24</v>
      </c>
    </row>
    <row r="97" spans="1:17" x14ac:dyDescent="0.25">
      <c r="A97" s="2" t="s">
        <v>612</v>
      </c>
      <c r="B97" s="2">
        <v>28</v>
      </c>
      <c r="C97" s="2" t="s">
        <v>26</v>
      </c>
      <c r="D97" s="2" t="s">
        <v>19</v>
      </c>
      <c r="E97" s="2" t="s">
        <v>28</v>
      </c>
      <c r="F97" s="2" t="s">
        <v>59</v>
      </c>
      <c r="G97" s="2" t="s">
        <v>232</v>
      </c>
      <c r="H97" s="2">
        <v>1</v>
      </c>
      <c r="I97" s="2" t="s">
        <v>23</v>
      </c>
      <c r="J97" s="2">
        <v>6810</v>
      </c>
      <c r="K97" s="2">
        <v>1</v>
      </c>
      <c r="L97" s="2" t="s">
        <v>24</v>
      </c>
      <c r="M97" s="2">
        <v>1</v>
      </c>
      <c r="N97" s="2">
        <v>3</v>
      </c>
      <c r="O97" s="2">
        <v>3</v>
      </c>
      <c r="P97" s="2">
        <v>0</v>
      </c>
      <c r="Q97" s="2" t="s">
        <v>24</v>
      </c>
    </row>
    <row r="98" spans="1:17" x14ac:dyDescent="0.25">
      <c r="A98" s="2" t="s">
        <v>912</v>
      </c>
      <c r="B98" s="2">
        <v>41</v>
      </c>
      <c r="C98" s="2" t="s">
        <v>26</v>
      </c>
      <c r="D98" s="2" t="s">
        <v>33</v>
      </c>
      <c r="E98" s="2" t="s">
        <v>20</v>
      </c>
      <c r="F98" s="2" t="s">
        <v>44</v>
      </c>
      <c r="G98" s="2" t="s">
        <v>234</v>
      </c>
      <c r="H98" s="2">
        <v>7</v>
      </c>
      <c r="I98" s="2" t="s">
        <v>31</v>
      </c>
      <c r="J98" s="2">
        <v>6558</v>
      </c>
      <c r="K98" s="2">
        <v>22</v>
      </c>
      <c r="L98" s="2" t="s">
        <v>24</v>
      </c>
      <c r="M98" s="2">
        <v>4</v>
      </c>
      <c r="N98" s="2">
        <v>2</v>
      </c>
      <c r="O98" s="2">
        <v>4</v>
      </c>
      <c r="P98" s="2">
        <v>4</v>
      </c>
      <c r="Q98" s="2" t="s">
        <v>24</v>
      </c>
    </row>
    <row r="99" spans="1:17" x14ac:dyDescent="0.25">
      <c r="A99" s="2" t="s">
        <v>935</v>
      </c>
      <c r="B99" s="2">
        <v>32</v>
      </c>
      <c r="C99" s="2" t="s">
        <v>18</v>
      </c>
      <c r="D99" s="2" t="s">
        <v>27</v>
      </c>
      <c r="E99" s="2" t="s">
        <v>28</v>
      </c>
      <c r="F99" s="2" t="s">
        <v>59</v>
      </c>
      <c r="G99" s="2" t="s">
        <v>236</v>
      </c>
      <c r="H99" s="2">
        <v>3</v>
      </c>
      <c r="I99" s="2" t="s">
        <v>42</v>
      </c>
      <c r="J99" s="2">
        <v>7299</v>
      </c>
      <c r="K99" s="2">
        <v>17</v>
      </c>
      <c r="L99" s="2" t="s">
        <v>24</v>
      </c>
      <c r="M99" s="2">
        <v>1</v>
      </c>
      <c r="N99" s="2">
        <v>3</v>
      </c>
      <c r="O99" s="2">
        <v>3</v>
      </c>
      <c r="P99" s="2">
        <v>0</v>
      </c>
      <c r="Q99" s="2" t="s">
        <v>24</v>
      </c>
    </row>
    <row r="100" spans="1:17" x14ac:dyDescent="0.25">
      <c r="A100" s="2" t="s">
        <v>982</v>
      </c>
      <c r="B100" s="2">
        <v>33</v>
      </c>
      <c r="C100" s="2" t="s">
        <v>26</v>
      </c>
      <c r="D100" s="2" t="s">
        <v>19</v>
      </c>
      <c r="E100" s="2" t="s">
        <v>20</v>
      </c>
      <c r="F100" s="2" t="s">
        <v>21</v>
      </c>
      <c r="G100" s="2" t="s">
        <v>139</v>
      </c>
      <c r="H100" s="2">
        <v>0</v>
      </c>
      <c r="I100" s="2" t="s">
        <v>23</v>
      </c>
      <c r="J100" s="2">
        <v>11627</v>
      </c>
      <c r="K100" s="2">
        <v>3</v>
      </c>
      <c r="L100" s="2" t="s">
        <v>24</v>
      </c>
      <c r="M100" s="2">
        <v>3</v>
      </c>
      <c r="N100" s="2">
        <v>3</v>
      </c>
      <c r="O100" s="2">
        <v>3</v>
      </c>
      <c r="P100" s="2">
        <v>4</v>
      </c>
      <c r="Q100" s="2" t="s">
        <v>24</v>
      </c>
    </row>
    <row r="101" spans="1:17" x14ac:dyDescent="0.25">
      <c r="A101" s="2" t="s">
        <v>481</v>
      </c>
      <c r="B101" s="2">
        <v>20</v>
      </c>
      <c r="C101" s="2" t="s">
        <v>26</v>
      </c>
      <c r="D101" s="2" t="s">
        <v>19</v>
      </c>
      <c r="E101" s="2" t="s">
        <v>20</v>
      </c>
      <c r="F101" s="2" t="s">
        <v>44</v>
      </c>
      <c r="G101" s="2" t="s">
        <v>239</v>
      </c>
      <c r="H101" s="2">
        <v>1</v>
      </c>
      <c r="I101" s="2" t="s">
        <v>23</v>
      </c>
      <c r="J101" s="2">
        <v>5352</v>
      </c>
      <c r="K101" s="2">
        <v>3</v>
      </c>
      <c r="L101" s="2" t="s">
        <v>24</v>
      </c>
      <c r="M101" s="2">
        <v>1</v>
      </c>
      <c r="N101" s="2">
        <v>2</v>
      </c>
      <c r="O101" s="2">
        <v>3</v>
      </c>
      <c r="P101" s="2">
        <v>4</v>
      </c>
      <c r="Q101" s="2" t="s">
        <v>36</v>
      </c>
    </row>
    <row r="102" spans="1:17" x14ac:dyDescent="0.25">
      <c r="A102" s="2" t="s">
        <v>180</v>
      </c>
      <c r="B102" s="2">
        <v>32</v>
      </c>
      <c r="C102" s="2" t="s">
        <v>26</v>
      </c>
      <c r="D102" s="2" t="s">
        <v>33</v>
      </c>
      <c r="E102" s="2" t="s">
        <v>20</v>
      </c>
      <c r="F102" s="2" t="s">
        <v>21</v>
      </c>
      <c r="G102" s="2" t="s">
        <v>241</v>
      </c>
      <c r="H102" s="2">
        <v>4</v>
      </c>
      <c r="I102" s="2" t="s">
        <v>42</v>
      </c>
      <c r="J102" s="2">
        <v>13480</v>
      </c>
      <c r="K102" s="2">
        <v>22</v>
      </c>
      <c r="L102" s="2" t="s">
        <v>24</v>
      </c>
      <c r="M102" s="2">
        <v>4</v>
      </c>
      <c r="N102" s="2">
        <v>3</v>
      </c>
      <c r="O102" s="2">
        <v>3</v>
      </c>
      <c r="P102" s="2">
        <v>2</v>
      </c>
      <c r="Q102" s="2" t="s">
        <v>24</v>
      </c>
    </row>
    <row r="103" spans="1:17" x14ac:dyDescent="0.25">
      <c r="A103" s="2" t="s">
        <v>934</v>
      </c>
      <c r="B103" s="2">
        <v>33</v>
      </c>
      <c r="C103" s="2" t="s">
        <v>18</v>
      </c>
      <c r="D103" s="2" t="s">
        <v>19</v>
      </c>
      <c r="E103" s="2" t="s">
        <v>20</v>
      </c>
      <c r="F103" s="2" t="s">
        <v>44</v>
      </c>
      <c r="G103" s="2" t="s">
        <v>243</v>
      </c>
      <c r="H103" s="2">
        <v>3</v>
      </c>
      <c r="I103" s="2" t="s">
        <v>42</v>
      </c>
      <c r="J103" s="2">
        <v>6317</v>
      </c>
      <c r="K103" s="2">
        <v>2</v>
      </c>
      <c r="L103" s="2" t="s">
        <v>24</v>
      </c>
      <c r="M103" s="2">
        <v>4</v>
      </c>
      <c r="N103" s="2">
        <v>3</v>
      </c>
      <c r="O103" s="2">
        <v>4</v>
      </c>
      <c r="P103" s="2">
        <v>1</v>
      </c>
      <c r="Q103" s="2" t="s">
        <v>24</v>
      </c>
    </row>
    <row r="104" spans="1:17" x14ac:dyDescent="0.25">
      <c r="A104" s="2" t="s">
        <v>1052</v>
      </c>
      <c r="B104" s="2">
        <v>43</v>
      </c>
      <c r="C104" s="2" t="s">
        <v>18</v>
      </c>
      <c r="D104" s="2" t="s">
        <v>27</v>
      </c>
      <c r="E104" s="2" t="s">
        <v>28</v>
      </c>
      <c r="F104" s="2" t="s">
        <v>64</v>
      </c>
      <c r="G104" s="2" t="s">
        <v>245</v>
      </c>
      <c r="H104" s="2">
        <v>11</v>
      </c>
      <c r="I104" s="2" t="s">
        <v>92</v>
      </c>
      <c r="J104" s="2">
        <v>5720</v>
      </c>
      <c r="K104" s="2">
        <v>16</v>
      </c>
      <c r="L104" s="2" t="s">
        <v>24</v>
      </c>
      <c r="M104" s="2">
        <v>2</v>
      </c>
      <c r="N104" s="2">
        <v>1</v>
      </c>
      <c r="O104" s="2">
        <v>3</v>
      </c>
      <c r="P104" s="2">
        <v>3</v>
      </c>
      <c r="Q104" s="2" t="s">
        <v>24</v>
      </c>
    </row>
    <row r="105" spans="1:17" x14ac:dyDescent="0.25">
      <c r="A105" s="2" t="s">
        <v>430</v>
      </c>
      <c r="B105" s="2">
        <v>23</v>
      </c>
      <c r="C105" s="2" t="s">
        <v>18</v>
      </c>
      <c r="D105" s="2" t="s">
        <v>33</v>
      </c>
      <c r="E105" s="2" t="s">
        <v>110</v>
      </c>
      <c r="F105" s="2" t="s">
        <v>189</v>
      </c>
      <c r="G105" s="2" t="s">
        <v>247</v>
      </c>
      <c r="H105" s="2">
        <v>0</v>
      </c>
      <c r="I105" s="2" t="s">
        <v>23</v>
      </c>
      <c r="J105" s="2">
        <v>3670</v>
      </c>
      <c r="K105" s="2">
        <v>1</v>
      </c>
      <c r="L105" s="2" t="s">
        <v>24</v>
      </c>
      <c r="M105" s="2">
        <v>2</v>
      </c>
      <c r="N105" s="2">
        <v>2</v>
      </c>
      <c r="O105" s="2">
        <v>4</v>
      </c>
      <c r="P105" s="2">
        <v>1</v>
      </c>
      <c r="Q105" s="2" t="s">
        <v>24</v>
      </c>
    </row>
    <row r="106" spans="1:17" x14ac:dyDescent="0.25">
      <c r="A106" s="2" t="s">
        <v>494</v>
      </c>
      <c r="B106" s="2">
        <v>31</v>
      </c>
      <c r="C106" s="2" t="s">
        <v>26</v>
      </c>
      <c r="D106" s="2" t="s">
        <v>27</v>
      </c>
      <c r="E106" s="2" t="s">
        <v>110</v>
      </c>
      <c r="F106" s="2" t="s">
        <v>189</v>
      </c>
      <c r="G106" s="2" t="s">
        <v>249</v>
      </c>
      <c r="H106" s="2">
        <v>5</v>
      </c>
      <c r="I106" s="2" t="s">
        <v>42</v>
      </c>
      <c r="J106" s="2">
        <v>4235</v>
      </c>
      <c r="K106" s="2">
        <v>6</v>
      </c>
      <c r="L106" s="2" t="s">
        <v>24</v>
      </c>
      <c r="M106" s="2">
        <v>3</v>
      </c>
      <c r="N106" s="2">
        <v>3</v>
      </c>
      <c r="O106" s="2">
        <v>4</v>
      </c>
      <c r="P106" s="2">
        <v>3</v>
      </c>
      <c r="Q106" s="2" t="s">
        <v>24</v>
      </c>
    </row>
    <row r="107" spans="1:17" x14ac:dyDescent="0.25">
      <c r="A107" s="2" t="s">
        <v>63</v>
      </c>
      <c r="B107" s="2">
        <v>25</v>
      </c>
      <c r="C107" s="2" t="s">
        <v>26</v>
      </c>
      <c r="D107" s="2" t="s">
        <v>19</v>
      </c>
      <c r="E107" s="2" t="s">
        <v>28</v>
      </c>
      <c r="F107" s="2" t="s">
        <v>64</v>
      </c>
      <c r="G107" s="2" t="s">
        <v>251</v>
      </c>
      <c r="H107" s="2">
        <v>1</v>
      </c>
      <c r="I107" s="2" t="s">
        <v>23</v>
      </c>
      <c r="J107" s="2">
        <v>5315</v>
      </c>
      <c r="K107" s="2">
        <v>19</v>
      </c>
      <c r="L107" s="2" t="s">
        <v>24</v>
      </c>
      <c r="M107" s="2">
        <v>3</v>
      </c>
      <c r="N107" s="2">
        <v>3</v>
      </c>
      <c r="O107" s="2">
        <v>4</v>
      </c>
      <c r="P107" s="2">
        <v>2</v>
      </c>
      <c r="Q107" s="2" t="s">
        <v>24</v>
      </c>
    </row>
    <row r="108" spans="1:17" x14ac:dyDescent="0.25">
      <c r="A108" s="2" t="s">
        <v>828</v>
      </c>
      <c r="B108" s="2">
        <v>42</v>
      </c>
      <c r="C108" s="2" t="s">
        <v>26</v>
      </c>
      <c r="D108" s="2" t="s">
        <v>19</v>
      </c>
      <c r="E108" s="2" t="s">
        <v>28</v>
      </c>
      <c r="F108" s="2" t="s">
        <v>59</v>
      </c>
      <c r="G108" s="2" t="s">
        <v>253</v>
      </c>
      <c r="H108" s="2">
        <v>3</v>
      </c>
      <c r="I108" s="2" t="s">
        <v>42</v>
      </c>
      <c r="J108" s="2">
        <v>7828</v>
      </c>
      <c r="K108" s="2">
        <v>1</v>
      </c>
      <c r="L108" s="2" t="s">
        <v>24</v>
      </c>
      <c r="M108" s="2">
        <v>2</v>
      </c>
      <c r="N108" s="2">
        <v>3</v>
      </c>
      <c r="O108" s="2">
        <v>3</v>
      </c>
      <c r="P108" s="2">
        <v>0</v>
      </c>
      <c r="Q108" s="2" t="s">
        <v>24</v>
      </c>
    </row>
    <row r="109" spans="1:17" x14ac:dyDescent="0.25">
      <c r="A109" s="2" t="s">
        <v>389</v>
      </c>
      <c r="B109" s="2">
        <v>43</v>
      </c>
      <c r="C109" s="2" t="s">
        <v>26</v>
      </c>
      <c r="D109" s="2" t="s">
        <v>19</v>
      </c>
      <c r="E109" s="2" t="s">
        <v>28</v>
      </c>
      <c r="F109" s="2" t="s">
        <v>64</v>
      </c>
      <c r="G109" s="2" t="s">
        <v>255</v>
      </c>
      <c r="H109" s="2">
        <v>2</v>
      </c>
      <c r="I109" s="2" t="s">
        <v>23</v>
      </c>
      <c r="J109" s="2">
        <v>4339</v>
      </c>
      <c r="K109" s="2">
        <v>12</v>
      </c>
      <c r="L109" s="2" t="s">
        <v>24</v>
      </c>
      <c r="M109" s="2">
        <v>1</v>
      </c>
      <c r="N109" s="2">
        <v>3</v>
      </c>
      <c r="O109" s="2">
        <v>3</v>
      </c>
      <c r="P109" s="2">
        <v>3</v>
      </c>
      <c r="Q109" s="2" t="s">
        <v>24</v>
      </c>
    </row>
    <row r="110" spans="1:17" x14ac:dyDescent="0.25">
      <c r="A110" s="2" t="s">
        <v>391</v>
      </c>
      <c r="B110" s="2">
        <v>27</v>
      </c>
      <c r="C110" s="2" t="s">
        <v>26</v>
      </c>
      <c r="D110" s="2" t="s">
        <v>19</v>
      </c>
      <c r="E110" s="2" t="s">
        <v>28</v>
      </c>
      <c r="F110" s="2" t="s">
        <v>34</v>
      </c>
      <c r="G110" s="2" t="s">
        <v>247</v>
      </c>
      <c r="H110" s="2">
        <v>0</v>
      </c>
      <c r="I110" s="2" t="s">
        <v>23</v>
      </c>
      <c r="J110" s="2">
        <v>3014</v>
      </c>
      <c r="K110" s="2">
        <v>6</v>
      </c>
      <c r="L110" s="2" t="s">
        <v>36</v>
      </c>
      <c r="M110" s="2">
        <v>3</v>
      </c>
      <c r="N110" s="2">
        <v>2</v>
      </c>
      <c r="O110" s="2">
        <v>3</v>
      </c>
      <c r="P110" s="2">
        <v>4</v>
      </c>
      <c r="Q110" s="2" t="s">
        <v>36</v>
      </c>
    </row>
    <row r="111" spans="1:17" x14ac:dyDescent="0.25">
      <c r="A111" s="2" t="s">
        <v>373</v>
      </c>
      <c r="B111" s="2">
        <v>31</v>
      </c>
      <c r="C111" s="2" t="s">
        <v>26</v>
      </c>
      <c r="D111" s="2" t="s">
        <v>19</v>
      </c>
      <c r="E111" s="2" t="s">
        <v>20</v>
      </c>
      <c r="F111" s="2" t="s">
        <v>21</v>
      </c>
      <c r="G111" s="2" t="s">
        <v>258</v>
      </c>
      <c r="H111" s="2">
        <v>3</v>
      </c>
      <c r="I111" s="2" t="s">
        <v>42</v>
      </c>
      <c r="J111" s="2">
        <v>11934</v>
      </c>
      <c r="K111" s="2">
        <v>15</v>
      </c>
      <c r="L111" s="2" t="s">
        <v>24</v>
      </c>
      <c r="M111" s="2">
        <v>4</v>
      </c>
      <c r="N111" s="2">
        <v>2</v>
      </c>
      <c r="O111" s="2">
        <v>3</v>
      </c>
      <c r="P111" s="2">
        <v>2</v>
      </c>
      <c r="Q111" s="2" t="s">
        <v>24</v>
      </c>
    </row>
    <row r="112" spans="1:17" x14ac:dyDescent="0.25">
      <c r="A112" s="2" t="s">
        <v>864</v>
      </c>
      <c r="B112" s="2">
        <v>26</v>
      </c>
      <c r="C112" s="2" t="s">
        <v>26</v>
      </c>
      <c r="D112" s="2" t="s">
        <v>33</v>
      </c>
      <c r="E112" s="2" t="s">
        <v>110</v>
      </c>
      <c r="F112" s="2" t="s">
        <v>128</v>
      </c>
      <c r="G112" s="2" t="s">
        <v>260</v>
      </c>
      <c r="H112" s="2">
        <v>1</v>
      </c>
      <c r="I112" s="2" t="s">
        <v>23</v>
      </c>
      <c r="J112" s="2">
        <v>11474</v>
      </c>
      <c r="K112" s="2">
        <v>13</v>
      </c>
      <c r="L112" s="2" t="s">
        <v>36</v>
      </c>
      <c r="M112" s="2">
        <v>4</v>
      </c>
      <c r="N112" s="2">
        <v>3</v>
      </c>
      <c r="O112" s="2">
        <v>3</v>
      </c>
      <c r="P112" s="2">
        <v>1</v>
      </c>
      <c r="Q112" s="2" t="s">
        <v>24</v>
      </c>
    </row>
    <row r="113" spans="1:17" x14ac:dyDescent="0.25">
      <c r="A113" s="2" t="s">
        <v>670</v>
      </c>
      <c r="B113" s="2">
        <v>29</v>
      </c>
      <c r="C113" s="2" t="s">
        <v>26</v>
      </c>
      <c r="D113" s="2" t="s">
        <v>19</v>
      </c>
      <c r="E113" s="2" t="s">
        <v>20</v>
      </c>
      <c r="F113" s="2" t="s">
        <v>44</v>
      </c>
      <c r="G113" s="2" t="s">
        <v>262</v>
      </c>
      <c r="H113" s="2">
        <v>0</v>
      </c>
      <c r="I113" s="2" t="s">
        <v>23</v>
      </c>
      <c r="J113" s="2">
        <v>5050</v>
      </c>
      <c r="K113" s="2">
        <v>13</v>
      </c>
      <c r="L113" s="2" t="s">
        <v>36</v>
      </c>
      <c r="M113" s="2">
        <v>4</v>
      </c>
      <c r="N113" s="2">
        <v>3</v>
      </c>
      <c r="O113" s="2">
        <v>3</v>
      </c>
      <c r="P113" s="2">
        <v>3</v>
      </c>
      <c r="Q113" s="2" t="s">
        <v>24</v>
      </c>
    </row>
    <row r="114" spans="1:17" x14ac:dyDescent="0.25">
      <c r="A114" s="2" t="s">
        <v>996</v>
      </c>
      <c r="B114" s="2">
        <v>40</v>
      </c>
      <c r="C114" s="2" t="s">
        <v>18</v>
      </c>
      <c r="D114" s="2" t="s">
        <v>27</v>
      </c>
      <c r="E114" s="2" t="s">
        <v>20</v>
      </c>
      <c r="F114" s="2" t="s">
        <v>21</v>
      </c>
      <c r="G114" s="2" t="s">
        <v>264</v>
      </c>
      <c r="H114" s="2">
        <v>0</v>
      </c>
      <c r="I114" s="2" t="s">
        <v>23</v>
      </c>
      <c r="J114" s="2">
        <v>11551</v>
      </c>
      <c r="K114" s="2">
        <v>1</v>
      </c>
      <c r="L114" s="2" t="s">
        <v>36</v>
      </c>
      <c r="M114" s="2">
        <v>4</v>
      </c>
      <c r="N114" s="2">
        <v>2</v>
      </c>
      <c r="O114" s="2">
        <v>3</v>
      </c>
      <c r="P114" s="2">
        <v>0</v>
      </c>
      <c r="Q114" s="2" t="s">
        <v>36</v>
      </c>
    </row>
    <row r="115" spans="1:17" x14ac:dyDescent="0.25">
      <c r="A115" s="2" t="s">
        <v>543</v>
      </c>
      <c r="B115" s="2">
        <v>26</v>
      </c>
      <c r="C115" s="2" t="s">
        <v>18</v>
      </c>
      <c r="D115" s="2" t="s">
        <v>27</v>
      </c>
      <c r="E115" s="2" t="s">
        <v>110</v>
      </c>
      <c r="F115" s="2" t="s">
        <v>111</v>
      </c>
      <c r="G115" s="2" t="s">
        <v>266</v>
      </c>
      <c r="H115" s="2">
        <v>6</v>
      </c>
      <c r="I115" s="2" t="s">
        <v>31</v>
      </c>
      <c r="J115" s="2">
        <v>5243</v>
      </c>
      <c r="K115" s="2">
        <v>4</v>
      </c>
      <c r="L115" s="2" t="s">
        <v>24</v>
      </c>
      <c r="M115" s="2">
        <v>3</v>
      </c>
      <c r="N115" s="2">
        <v>3</v>
      </c>
      <c r="O115" s="2">
        <v>3</v>
      </c>
      <c r="P115" s="2">
        <v>3</v>
      </c>
      <c r="Q115" s="2" t="s">
        <v>24</v>
      </c>
    </row>
    <row r="116" spans="1:17" x14ac:dyDescent="0.25">
      <c r="A116" s="2" t="s">
        <v>680</v>
      </c>
      <c r="B116" s="2">
        <v>46</v>
      </c>
      <c r="C116" s="2" t="s">
        <v>18</v>
      </c>
      <c r="D116" s="2" t="s">
        <v>27</v>
      </c>
      <c r="E116" s="2" t="s">
        <v>20</v>
      </c>
      <c r="F116" s="2" t="s">
        <v>44</v>
      </c>
      <c r="G116" s="2" t="s">
        <v>268</v>
      </c>
      <c r="H116" s="2">
        <v>0</v>
      </c>
      <c r="I116" s="2" t="s">
        <v>23</v>
      </c>
      <c r="J116" s="2">
        <v>5937</v>
      </c>
      <c r="K116" s="2">
        <v>1</v>
      </c>
      <c r="L116" s="2" t="s">
        <v>24</v>
      </c>
      <c r="M116" s="2">
        <v>4</v>
      </c>
      <c r="N116" s="2">
        <v>2</v>
      </c>
      <c r="O116" s="2">
        <v>3</v>
      </c>
      <c r="P116" s="2">
        <v>5</v>
      </c>
      <c r="Q116" s="2" t="s">
        <v>24</v>
      </c>
    </row>
    <row r="117" spans="1:17" x14ac:dyDescent="0.25">
      <c r="A117" s="2" t="s">
        <v>703</v>
      </c>
      <c r="B117" s="2">
        <v>32</v>
      </c>
      <c r="C117" s="2" t="s">
        <v>26</v>
      </c>
      <c r="D117" s="2" t="s">
        <v>33</v>
      </c>
      <c r="E117" s="2" t="s">
        <v>28</v>
      </c>
      <c r="F117" s="2" t="s">
        <v>29</v>
      </c>
      <c r="G117" s="2" t="s">
        <v>270</v>
      </c>
      <c r="H117" s="2">
        <v>3</v>
      </c>
      <c r="I117" s="2" t="s">
        <v>42</v>
      </c>
      <c r="J117" s="2">
        <v>12064</v>
      </c>
      <c r="K117" s="2">
        <v>1</v>
      </c>
      <c r="L117" s="2" t="s">
        <v>24</v>
      </c>
      <c r="M117" s="2">
        <v>3</v>
      </c>
      <c r="N117" s="2">
        <v>2</v>
      </c>
      <c r="O117" s="2">
        <v>3</v>
      </c>
      <c r="P117" s="2">
        <v>3</v>
      </c>
      <c r="Q117" s="2" t="s">
        <v>24</v>
      </c>
    </row>
    <row r="118" spans="1:17" x14ac:dyDescent="0.25">
      <c r="A118" s="2" t="s">
        <v>744</v>
      </c>
      <c r="B118" s="2">
        <v>48</v>
      </c>
      <c r="C118" s="2" t="s">
        <v>26</v>
      </c>
      <c r="D118" s="2" t="s">
        <v>33</v>
      </c>
      <c r="E118" s="2" t="s">
        <v>20</v>
      </c>
      <c r="F118" s="2" t="s">
        <v>40</v>
      </c>
      <c r="G118" s="2" t="s">
        <v>272</v>
      </c>
      <c r="H118" s="2">
        <v>3</v>
      </c>
      <c r="I118" s="2" t="s">
        <v>42</v>
      </c>
      <c r="J118" s="2">
        <v>3669</v>
      </c>
      <c r="K118" s="2">
        <v>1</v>
      </c>
      <c r="L118" s="2" t="s">
        <v>24</v>
      </c>
      <c r="M118" s="2">
        <v>2</v>
      </c>
      <c r="N118" s="2">
        <v>2</v>
      </c>
      <c r="O118" s="2">
        <v>3</v>
      </c>
      <c r="P118" s="2">
        <v>0</v>
      </c>
      <c r="Q118" s="2" t="s">
        <v>36</v>
      </c>
    </row>
    <row r="119" spans="1:17" x14ac:dyDescent="0.25">
      <c r="A119" s="2" t="s">
        <v>758</v>
      </c>
      <c r="B119" s="2">
        <v>54</v>
      </c>
      <c r="C119" s="2" t="s">
        <v>18</v>
      </c>
      <c r="D119" s="2" t="s">
        <v>19</v>
      </c>
      <c r="E119" s="2" t="s">
        <v>28</v>
      </c>
      <c r="F119" s="2" t="s">
        <v>34</v>
      </c>
      <c r="G119" s="2" t="s">
        <v>274</v>
      </c>
      <c r="H119" s="2">
        <v>0</v>
      </c>
      <c r="I119" s="2" t="s">
        <v>23</v>
      </c>
      <c r="J119" s="2">
        <v>3465</v>
      </c>
      <c r="K119" s="2">
        <v>1</v>
      </c>
      <c r="L119" s="2" t="s">
        <v>24</v>
      </c>
      <c r="M119" s="2">
        <v>2</v>
      </c>
      <c r="N119" s="2">
        <v>4</v>
      </c>
      <c r="O119" s="2">
        <v>3</v>
      </c>
      <c r="P119" s="2">
        <v>0</v>
      </c>
      <c r="Q119" s="2" t="s">
        <v>36</v>
      </c>
    </row>
    <row r="120" spans="1:17" x14ac:dyDescent="0.25">
      <c r="A120" s="2" t="s">
        <v>992</v>
      </c>
      <c r="B120" s="2">
        <v>34</v>
      </c>
      <c r="C120" s="2" t="s">
        <v>18</v>
      </c>
      <c r="D120" s="2" t="s">
        <v>33</v>
      </c>
      <c r="E120" s="2" t="s">
        <v>28</v>
      </c>
      <c r="F120" s="2" t="s">
        <v>64</v>
      </c>
      <c r="G120" s="2" t="s">
        <v>276</v>
      </c>
      <c r="H120" s="2">
        <v>16</v>
      </c>
      <c r="I120" s="2" t="s">
        <v>92</v>
      </c>
      <c r="J120" s="2">
        <v>6445</v>
      </c>
      <c r="K120" s="2">
        <v>4</v>
      </c>
      <c r="L120" s="2" t="s">
        <v>24</v>
      </c>
      <c r="M120" s="2">
        <v>3</v>
      </c>
      <c r="N120" s="2">
        <v>2</v>
      </c>
      <c r="O120" s="2">
        <v>3</v>
      </c>
      <c r="P120" s="2">
        <v>5</v>
      </c>
      <c r="Q120" s="2" t="s">
        <v>24</v>
      </c>
    </row>
    <row r="121" spans="1:17" x14ac:dyDescent="0.25">
      <c r="A121" s="2" t="s">
        <v>963</v>
      </c>
      <c r="B121" s="2">
        <v>23</v>
      </c>
      <c r="C121" s="2" t="s">
        <v>26</v>
      </c>
      <c r="D121" s="2" t="s">
        <v>19</v>
      </c>
      <c r="E121" s="2" t="s">
        <v>28</v>
      </c>
      <c r="F121" s="2" t="s">
        <v>64</v>
      </c>
      <c r="G121" s="2" t="s">
        <v>278</v>
      </c>
      <c r="H121" s="2">
        <v>1</v>
      </c>
      <c r="I121" s="2" t="s">
        <v>23</v>
      </c>
      <c r="J121" s="2">
        <v>4669</v>
      </c>
      <c r="K121" s="2">
        <v>1</v>
      </c>
      <c r="L121" s="2" t="s">
        <v>24</v>
      </c>
      <c r="M121" s="2">
        <v>2</v>
      </c>
      <c r="N121" s="2">
        <v>3</v>
      </c>
      <c r="O121" s="2">
        <v>3</v>
      </c>
      <c r="P121" s="2">
        <v>4</v>
      </c>
      <c r="Q121" s="2" t="s">
        <v>24</v>
      </c>
    </row>
    <row r="122" spans="1:17" x14ac:dyDescent="0.25">
      <c r="A122" s="2" t="s">
        <v>90</v>
      </c>
      <c r="B122" s="2">
        <v>40</v>
      </c>
      <c r="C122" s="2" t="s">
        <v>26</v>
      </c>
      <c r="D122" s="2" t="s">
        <v>19</v>
      </c>
      <c r="E122" s="2" t="s">
        <v>28</v>
      </c>
      <c r="F122" s="2" t="s">
        <v>34</v>
      </c>
      <c r="G122" s="2" t="s">
        <v>280</v>
      </c>
      <c r="H122" s="2">
        <v>21</v>
      </c>
      <c r="I122" s="2" t="s">
        <v>92</v>
      </c>
      <c r="J122" s="2">
        <v>3985</v>
      </c>
      <c r="K122" s="2">
        <v>5</v>
      </c>
      <c r="L122" s="2" t="s">
        <v>24</v>
      </c>
      <c r="M122" s="2">
        <v>1</v>
      </c>
      <c r="N122" s="2">
        <v>3</v>
      </c>
      <c r="O122" s="2">
        <v>3</v>
      </c>
      <c r="P122" s="2">
        <v>2</v>
      </c>
      <c r="Q122" s="2" t="s">
        <v>24</v>
      </c>
    </row>
    <row r="123" spans="1:17" x14ac:dyDescent="0.25">
      <c r="A123" s="2" t="s">
        <v>134</v>
      </c>
      <c r="B123" s="2">
        <v>45</v>
      </c>
      <c r="C123" s="2" t="s">
        <v>18</v>
      </c>
      <c r="D123" s="2" t="s">
        <v>27</v>
      </c>
      <c r="E123" s="2" t="s">
        <v>28</v>
      </c>
      <c r="F123" s="2" t="s">
        <v>59</v>
      </c>
      <c r="G123" s="2" t="s">
        <v>282</v>
      </c>
      <c r="H123" s="2">
        <v>0</v>
      </c>
      <c r="I123" s="2" t="s">
        <v>23</v>
      </c>
      <c r="J123" s="2">
        <v>5692</v>
      </c>
      <c r="K123" s="2">
        <v>6</v>
      </c>
      <c r="L123" s="2" t="s">
        <v>24</v>
      </c>
      <c r="M123" s="2">
        <v>4</v>
      </c>
      <c r="N123" s="2">
        <v>2</v>
      </c>
      <c r="O123" s="2">
        <v>3</v>
      </c>
      <c r="P123" s="2">
        <v>3</v>
      </c>
      <c r="Q123" s="2" t="s">
        <v>24</v>
      </c>
    </row>
    <row r="124" spans="1:17" x14ac:dyDescent="0.25">
      <c r="A124" s="2" t="s">
        <v>716</v>
      </c>
      <c r="B124" s="2">
        <v>42</v>
      </c>
      <c r="C124" s="2" t="s">
        <v>26</v>
      </c>
      <c r="D124" s="2" t="s">
        <v>33</v>
      </c>
      <c r="E124" s="2" t="s">
        <v>20</v>
      </c>
      <c r="F124" s="2" t="s">
        <v>44</v>
      </c>
      <c r="G124" s="2" t="s">
        <v>284</v>
      </c>
      <c r="H124" s="2">
        <v>24</v>
      </c>
      <c r="I124" s="2" t="s">
        <v>92</v>
      </c>
      <c r="J124" s="2">
        <v>8652</v>
      </c>
      <c r="K124" s="2">
        <v>2</v>
      </c>
      <c r="L124" s="2" t="s">
        <v>24</v>
      </c>
      <c r="M124" s="2">
        <v>1</v>
      </c>
      <c r="N124" s="2">
        <v>4</v>
      </c>
      <c r="O124" s="2">
        <v>4</v>
      </c>
      <c r="P124" s="2">
        <v>0</v>
      </c>
      <c r="Q124" s="2" t="s">
        <v>24</v>
      </c>
    </row>
    <row r="125" spans="1:17" x14ac:dyDescent="0.25">
      <c r="A125" s="2" t="s">
        <v>529</v>
      </c>
      <c r="B125" s="2">
        <v>30</v>
      </c>
      <c r="C125" s="2" t="s">
        <v>26</v>
      </c>
      <c r="D125" s="2" t="s">
        <v>33</v>
      </c>
      <c r="E125" s="2" t="s">
        <v>28</v>
      </c>
      <c r="F125" s="2" t="s">
        <v>34</v>
      </c>
      <c r="G125" s="2" t="s">
        <v>286</v>
      </c>
      <c r="H125" s="2">
        <v>3</v>
      </c>
      <c r="I125" s="2" t="s">
        <v>42</v>
      </c>
      <c r="J125" s="2">
        <v>3881</v>
      </c>
      <c r="K125" s="2">
        <v>10</v>
      </c>
      <c r="L125" s="2" t="s">
        <v>24</v>
      </c>
      <c r="M125" s="2">
        <v>2</v>
      </c>
      <c r="N125" s="2">
        <v>2</v>
      </c>
      <c r="O125" s="2">
        <v>3</v>
      </c>
      <c r="P125" s="2">
        <v>1</v>
      </c>
      <c r="Q125" s="2" t="s">
        <v>24</v>
      </c>
    </row>
    <row r="126" spans="1:17" x14ac:dyDescent="0.25">
      <c r="A126" s="2" t="s">
        <v>399</v>
      </c>
      <c r="B126" s="2">
        <v>47</v>
      </c>
      <c r="C126" s="2" t="s">
        <v>18</v>
      </c>
      <c r="D126" s="2" t="s">
        <v>27</v>
      </c>
      <c r="E126" s="2" t="s">
        <v>28</v>
      </c>
      <c r="F126" s="2" t="s">
        <v>34</v>
      </c>
      <c r="G126" s="2" t="s">
        <v>288</v>
      </c>
      <c r="H126" s="2">
        <v>3</v>
      </c>
      <c r="I126" s="2" t="s">
        <v>42</v>
      </c>
      <c r="J126" s="2">
        <v>3202</v>
      </c>
      <c r="K126" s="2">
        <v>13</v>
      </c>
      <c r="L126" s="2" t="s">
        <v>24</v>
      </c>
      <c r="M126" s="2">
        <v>3</v>
      </c>
      <c r="N126" s="2">
        <v>3</v>
      </c>
      <c r="O126" s="2">
        <v>4</v>
      </c>
      <c r="P126" s="2">
        <v>5</v>
      </c>
      <c r="Q126" s="2" t="s">
        <v>24</v>
      </c>
    </row>
    <row r="127" spans="1:17" x14ac:dyDescent="0.25">
      <c r="A127" s="2" t="s">
        <v>582</v>
      </c>
      <c r="B127" s="2">
        <v>42</v>
      </c>
      <c r="C127" s="2" t="s">
        <v>26</v>
      </c>
      <c r="D127" s="2" t="s">
        <v>27</v>
      </c>
      <c r="E127" s="2" t="s">
        <v>28</v>
      </c>
      <c r="F127" s="2" t="s">
        <v>64</v>
      </c>
      <c r="G127" s="2" t="s">
        <v>290</v>
      </c>
      <c r="H127" s="2">
        <v>0</v>
      </c>
      <c r="I127" s="2" t="s">
        <v>23</v>
      </c>
      <c r="J127" s="2">
        <v>4285</v>
      </c>
      <c r="K127" s="2">
        <v>8</v>
      </c>
      <c r="L127" s="2" t="s">
        <v>36</v>
      </c>
      <c r="M127" s="2">
        <v>4</v>
      </c>
      <c r="N127" s="2">
        <v>1</v>
      </c>
      <c r="O127" s="2">
        <v>4</v>
      </c>
      <c r="P127" s="2">
        <v>4</v>
      </c>
      <c r="Q127" s="2" t="s">
        <v>24</v>
      </c>
    </row>
    <row r="128" spans="1:17" x14ac:dyDescent="0.25">
      <c r="A128" s="2" t="s">
        <v>58</v>
      </c>
      <c r="B128" s="2">
        <v>32</v>
      </c>
      <c r="C128" s="2" t="s">
        <v>26</v>
      </c>
      <c r="D128" s="2" t="s">
        <v>33</v>
      </c>
      <c r="E128" s="2" t="s">
        <v>28</v>
      </c>
      <c r="F128" s="2" t="s">
        <v>34</v>
      </c>
      <c r="G128" s="2" t="s">
        <v>292</v>
      </c>
      <c r="H128" s="2">
        <v>0</v>
      </c>
      <c r="I128" s="2" t="s">
        <v>23</v>
      </c>
      <c r="J128" s="2">
        <v>3034</v>
      </c>
      <c r="K128" s="2">
        <v>5</v>
      </c>
      <c r="L128" s="2" t="s">
        <v>36</v>
      </c>
      <c r="M128" s="2">
        <v>4</v>
      </c>
      <c r="N128" s="2">
        <v>4</v>
      </c>
      <c r="O128" s="2">
        <v>3</v>
      </c>
      <c r="P128" s="2">
        <v>4</v>
      </c>
      <c r="Q128" s="2" t="s">
        <v>24</v>
      </c>
    </row>
    <row r="129" spans="1:17" x14ac:dyDescent="0.25">
      <c r="A129" s="2" t="s">
        <v>97</v>
      </c>
      <c r="B129" s="2">
        <v>34</v>
      </c>
      <c r="C129" s="2" t="s">
        <v>18</v>
      </c>
      <c r="D129" s="2" t="s">
        <v>19</v>
      </c>
      <c r="E129" s="2" t="s">
        <v>28</v>
      </c>
      <c r="F129" s="2" t="s">
        <v>64</v>
      </c>
      <c r="G129" s="2" t="s">
        <v>294</v>
      </c>
      <c r="H129" s="2">
        <v>10</v>
      </c>
      <c r="I129" s="2" t="s">
        <v>31</v>
      </c>
      <c r="J129" s="2">
        <v>5228</v>
      </c>
      <c r="K129" s="2">
        <v>3</v>
      </c>
      <c r="L129" s="2" t="s">
        <v>24</v>
      </c>
      <c r="M129" s="2">
        <v>3</v>
      </c>
      <c r="N129" s="2">
        <v>2</v>
      </c>
      <c r="O129" s="2">
        <v>4</v>
      </c>
      <c r="P129" s="2">
        <v>2</v>
      </c>
      <c r="Q129" s="2" t="s">
        <v>24</v>
      </c>
    </row>
    <row r="130" spans="1:17" x14ac:dyDescent="0.25">
      <c r="A130" s="2" t="s">
        <v>121</v>
      </c>
      <c r="B130" s="2">
        <v>41</v>
      </c>
      <c r="C130" s="2" t="s">
        <v>18</v>
      </c>
      <c r="D130" s="2" t="s">
        <v>19</v>
      </c>
      <c r="E130" s="2" t="s">
        <v>28</v>
      </c>
      <c r="F130" s="2" t="s">
        <v>29</v>
      </c>
      <c r="G130" s="2" t="s">
        <v>296</v>
      </c>
      <c r="H130" s="2">
        <v>1</v>
      </c>
      <c r="I130" s="2" t="s">
        <v>23</v>
      </c>
      <c r="J130" s="2">
        <v>11296</v>
      </c>
      <c r="K130" s="2">
        <v>1</v>
      </c>
      <c r="L130" s="2" t="s">
        <v>36</v>
      </c>
      <c r="M130" s="2">
        <v>4</v>
      </c>
      <c r="N130" s="2">
        <v>3</v>
      </c>
      <c r="O130" s="2">
        <v>4</v>
      </c>
      <c r="P130" s="2">
        <v>0</v>
      </c>
      <c r="Q130" s="2" t="s">
        <v>24</v>
      </c>
    </row>
    <row r="131" spans="1:17" x14ac:dyDescent="0.25">
      <c r="A131" s="2" t="s">
        <v>760</v>
      </c>
      <c r="B131" s="2">
        <v>57</v>
      </c>
      <c r="C131" s="2" t="s">
        <v>26</v>
      </c>
      <c r="D131" s="2" t="s">
        <v>19</v>
      </c>
      <c r="E131" s="2" t="s">
        <v>20</v>
      </c>
      <c r="F131" s="2" t="s">
        <v>21</v>
      </c>
      <c r="G131" s="2" t="s">
        <v>298</v>
      </c>
      <c r="H131" s="2">
        <v>1</v>
      </c>
      <c r="I131" s="2" t="s">
        <v>23</v>
      </c>
      <c r="J131" s="2">
        <v>7701</v>
      </c>
      <c r="K131" s="2">
        <v>8</v>
      </c>
      <c r="L131" s="2" t="s">
        <v>24</v>
      </c>
      <c r="M131" s="2">
        <v>4</v>
      </c>
      <c r="N131" s="2">
        <v>2</v>
      </c>
      <c r="O131" s="2">
        <v>3</v>
      </c>
      <c r="P131" s="2">
        <v>3</v>
      </c>
      <c r="Q131" s="2" t="s">
        <v>36</v>
      </c>
    </row>
    <row r="132" spans="1:17" x14ac:dyDescent="0.25">
      <c r="A132" s="2" t="s">
        <v>740</v>
      </c>
      <c r="B132" s="2">
        <v>49</v>
      </c>
      <c r="C132" s="2" t="s">
        <v>26</v>
      </c>
      <c r="D132" s="2" t="s">
        <v>33</v>
      </c>
      <c r="E132" s="2" t="s">
        <v>20</v>
      </c>
      <c r="F132" s="2" t="s">
        <v>40</v>
      </c>
      <c r="G132" s="2" t="s">
        <v>300</v>
      </c>
      <c r="H132" s="2">
        <v>0</v>
      </c>
      <c r="I132" s="2" t="s">
        <v>23</v>
      </c>
      <c r="J132" s="2">
        <v>3362</v>
      </c>
      <c r="K132" s="2">
        <v>9</v>
      </c>
      <c r="L132" s="2" t="s">
        <v>24</v>
      </c>
      <c r="M132" s="2">
        <v>3</v>
      </c>
      <c r="N132" s="2">
        <v>3</v>
      </c>
      <c r="O132" s="2">
        <v>3</v>
      </c>
      <c r="P132" s="2">
        <v>3</v>
      </c>
      <c r="Q132" s="2" t="s">
        <v>24</v>
      </c>
    </row>
    <row r="133" spans="1:17" x14ac:dyDescent="0.25">
      <c r="A133" s="2" t="s">
        <v>401</v>
      </c>
      <c r="B133" s="2">
        <v>23</v>
      </c>
      <c r="C133" s="2" t="s">
        <v>18</v>
      </c>
      <c r="D133" s="2" t="s">
        <v>19</v>
      </c>
      <c r="E133" s="2" t="s">
        <v>20</v>
      </c>
      <c r="F133" s="2" t="s">
        <v>21</v>
      </c>
      <c r="G133" s="2" t="s">
        <v>302</v>
      </c>
      <c r="H133" s="2">
        <v>0</v>
      </c>
      <c r="I133" s="2" t="s">
        <v>23</v>
      </c>
      <c r="J133" s="2">
        <v>13392</v>
      </c>
      <c r="K133" s="2">
        <v>1</v>
      </c>
      <c r="L133" s="2" t="s">
        <v>24</v>
      </c>
      <c r="M133" s="2">
        <v>1</v>
      </c>
      <c r="N133" s="2">
        <v>4</v>
      </c>
      <c r="O133" s="2">
        <v>4</v>
      </c>
      <c r="P133" s="2">
        <v>3</v>
      </c>
      <c r="Q133" s="2" t="s">
        <v>36</v>
      </c>
    </row>
    <row r="134" spans="1:17" x14ac:dyDescent="0.25">
      <c r="A134" s="2" t="s">
        <v>184</v>
      </c>
      <c r="B134" s="2">
        <v>34</v>
      </c>
      <c r="C134" s="2" t="s">
        <v>18</v>
      </c>
      <c r="D134" s="2" t="s">
        <v>33</v>
      </c>
      <c r="E134" s="2" t="s">
        <v>20</v>
      </c>
      <c r="F134" s="2" t="s">
        <v>44</v>
      </c>
      <c r="G134" s="2" t="s">
        <v>304</v>
      </c>
      <c r="H134" s="2">
        <v>6</v>
      </c>
      <c r="I134" s="2" t="s">
        <v>31</v>
      </c>
      <c r="J134" s="2">
        <v>6202</v>
      </c>
      <c r="K134" s="2">
        <v>18</v>
      </c>
      <c r="L134" s="2" t="s">
        <v>36</v>
      </c>
      <c r="M134" s="2">
        <v>2</v>
      </c>
      <c r="N134" s="2">
        <v>4</v>
      </c>
      <c r="O134" s="2">
        <v>3</v>
      </c>
      <c r="P134" s="2">
        <v>4</v>
      </c>
      <c r="Q134" s="2" t="s">
        <v>36</v>
      </c>
    </row>
    <row r="135" spans="1:17" x14ac:dyDescent="0.25">
      <c r="A135" s="2" t="s">
        <v>484</v>
      </c>
      <c r="B135" s="2">
        <v>35</v>
      </c>
      <c r="C135" s="2" t="s">
        <v>18</v>
      </c>
      <c r="D135" s="2" t="s">
        <v>33</v>
      </c>
      <c r="E135" s="2" t="s">
        <v>28</v>
      </c>
      <c r="F135" s="2" t="s">
        <v>59</v>
      </c>
      <c r="G135" s="2" t="s">
        <v>306</v>
      </c>
      <c r="H135" s="2">
        <v>8</v>
      </c>
      <c r="I135" s="2" t="s">
        <v>31</v>
      </c>
      <c r="J135" s="2">
        <v>5588</v>
      </c>
      <c r="K135" s="2">
        <v>5</v>
      </c>
      <c r="L135" s="2" t="s">
        <v>24</v>
      </c>
      <c r="M135" s="2">
        <v>3</v>
      </c>
      <c r="N135" s="2">
        <v>2</v>
      </c>
      <c r="O135" s="2">
        <v>4</v>
      </c>
      <c r="P135" s="2">
        <v>4</v>
      </c>
      <c r="Q135" s="2" t="s">
        <v>36</v>
      </c>
    </row>
    <row r="136" spans="1:17" x14ac:dyDescent="0.25">
      <c r="A136" s="2" t="s">
        <v>403</v>
      </c>
      <c r="B136" s="2">
        <v>39</v>
      </c>
      <c r="C136" s="2" t="s">
        <v>18</v>
      </c>
      <c r="D136" s="2" t="s">
        <v>27</v>
      </c>
      <c r="E136" s="2" t="s">
        <v>28</v>
      </c>
      <c r="F136" s="2" t="s">
        <v>64</v>
      </c>
      <c r="G136" s="2" t="s">
        <v>308</v>
      </c>
      <c r="H136" s="2">
        <v>2</v>
      </c>
      <c r="I136" s="2" t="s">
        <v>23</v>
      </c>
      <c r="J136" s="2">
        <v>5091</v>
      </c>
      <c r="K136" s="2">
        <v>2</v>
      </c>
      <c r="L136" s="2" t="s">
        <v>24</v>
      </c>
      <c r="M136" s="2">
        <v>1</v>
      </c>
      <c r="N136" s="2">
        <v>2</v>
      </c>
      <c r="O136" s="2">
        <v>3</v>
      </c>
      <c r="P136" s="2">
        <v>3</v>
      </c>
      <c r="Q136" s="2" t="s">
        <v>36</v>
      </c>
    </row>
    <row r="137" spans="1:17" x14ac:dyDescent="0.25">
      <c r="A137" s="2" t="s">
        <v>900</v>
      </c>
      <c r="B137" s="2">
        <v>37</v>
      </c>
      <c r="C137" s="2" t="s">
        <v>26</v>
      </c>
      <c r="D137" s="2" t="s">
        <v>19</v>
      </c>
      <c r="E137" s="2" t="s">
        <v>28</v>
      </c>
      <c r="F137" s="2" t="s">
        <v>59</v>
      </c>
      <c r="G137" s="2" t="s">
        <v>310</v>
      </c>
      <c r="H137" s="2">
        <v>2</v>
      </c>
      <c r="I137" s="2" t="s">
        <v>23</v>
      </c>
      <c r="J137" s="2">
        <v>7785</v>
      </c>
      <c r="K137" s="2">
        <v>5</v>
      </c>
      <c r="L137" s="2" t="s">
        <v>24</v>
      </c>
      <c r="M137" s="2">
        <v>4</v>
      </c>
      <c r="N137" s="2">
        <v>4</v>
      </c>
      <c r="O137" s="2">
        <v>3</v>
      </c>
      <c r="P137" s="2">
        <v>2</v>
      </c>
      <c r="Q137" s="2" t="s">
        <v>24</v>
      </c>
    </row>
    <row r="138" spans="1:17" x14ac:dyDescent="0.25">
      <c r="A138" s="2" t="s">
        <v>417</v>
      </c>
      <c r="B138" s="2">
        <v>34</v>
      </c>
      <c r="C138" s="2" t="s">
        <v>26</v>
      </c>
      <c r="D138" s="2" t="s">
        <v>19</v>
      </c>
      <c r="E138" s="2" t="s">
        <v>28</v>
      </c>
      <c r="F138" s="2" t="s">
        <v>64</v>
      </c>
      <c r="G138" s="2" t="s">
        <v>312</v>
      </c>
      <c r="H138" s="2">
        <v>6</v>
      </c>
      <c r="I138" s="2" t="s">
        <v>31</v>
      </c>
      <c r="J138" s="2">
        <v>5361</v>
      </c>
      <c r="K138" s="2">
        <v>3</v>
      </c>
      <c r="L138" s="2" t="s">
        <v>24</v>
      </c>
      <c r="M138" s="2">
        <v>3</v>
      </c>
      <c r="N138" s="2">
        <v>3</v>
      </c>
      <c r="O138" s="2">
        <v>3</v>
      </c>
      <c r="P138" s="2">
        <v>4</v>
      </c>
      <c r="Q138" s="2" t="s">
        <v>24</v>
      </c>
    </row>
    <row r="139" spans="1:17" x14ac:dyDescent="0.25">
      <c r="A139" s="2" t="s">
        <v>1014</v>
      </c>
      <c r="B139" s="2">
        <v>28</v>
      </c>
      <c r="C139" s="2" t="s">
        <v>26</v>
      </c>
      <c r="D139" s="2" t="s">
        <v>19</v>
      </c>
      <c r="E139" s="2" t="s">
        <v>20</v>
      </c>
      <c r="F139" s="2" t="s">
        <v>21</v>
      </c>
      <c r="G139" s="2" t="s">
        <v>314</v>
      </c>
      <c r="H139" s="2">
        <v>1</v>
      </c>
      <c r="I139" s="2" t="s">
        <v>23</v>
      </c>
      <c r="J139" s="2">
        <v>12712</v>
      </c>
      <c r="K139" s="2">
        <v>1</v>
      </c>
      <c r="L139" s="2" t="s">
        <v>36</v>
      </c>
      <c r="M139" s="2">
        <v>3</v>
      </c>
      <c r="N139" s="2">
        <v>3</v>
      </c>
      <c r="O139" s="2">
        <v>3</v>
      </c>
      <c r="P139" s="2">
        <v>2</v>
      </c>
      <c r="Q139" s="2" t="s">
        <v>36</v>
      </c>
    </row>
    <row r="140" spans="1:17" x14ac:dyDescent="0.25">
      <c r="A140" s="2" t="s">
        <v>1054</v>
      </c>
      <c r="B140" s="2">
        <v>36</v>
      </c>
      <c r="C140" s="2" t="s">
        <v>26</v>
      </c>
      <c r="D140" s="2" t="s">
        <v>27</v>
      </c>
      <c r="E140" s="2" t="s">
        <v>28</v>
      </c>
      <c r="F140" s="2" t="s">
        <v>64</v>
      </c>
      <c r="G140" s="2" t="s">
        <v>316</v>
      </c>
      <c r="H140" s="2">
        <v>0</v>
      </c>
      <c r="I140" s="2" t="s">
        <v>23</v>
      </c>
      <c r="J140" s="2">
        <v>6353</v>
      </c>
      <c r="K140" s="2">
        <v>8</v>
      </c>
      <c r="L140" s="2" t="s">
        <v>24</v>
      </c>
      <c r="M140" s="2">
        <v>4</v>
      </c>
      <c r="N140" s="2">
        <v>2</v>
      </c>
      <c r="O140" s="2">
        <v>3</v>
      </c>
      <c r="P140" s="2">
        <v>0</v>
      </c>
      <c r="Q140" s="2" t="s">
        <v>36</v>
      </c>
    </row>
    <row r="141" spans="1:17" x14ac:dyDescent="0.25">
      <c r="A141" s="2" t="s">
        <v>786</v>
      </c>
      <c r="B141" s="2">
        <v>28</v>
      </c>
      <c r="C141" s="2" t="s">
        <v>18</v>
      </c>
      <c r="D141" s="2" t="s">
        <v>19</v>
      </c>
      <c r="E141" s="2" t="s">
        <v>20</v>
      </c>
      <c r="F141" s="2" t="s">
        <v>44</v>
      </c>
      <c r="G141" s="2" t="s">
        <v>318</v>
      </c>
      <c r="H141" s="2">
        <v>7</v>
      </c>
      <c r="I141" s="2" t="s">
        <v>31</v>
      </c>
      <c r="J141" s="2">
        <v>7697</v>
      </c>
      <c r="K141" s="2">
        <v>13</v>
      </c>
      <c r="L141" s="2" t="s">
        <v>36</v>
      </c>
      <c r="M141" s="2">
        <v>4</v>
      </c>
      <c r="N141" s="2">
        <v>2</v>
      </c>
      <c r="O141" s="2">
        <v>3</v>
      </c>
      <c r="P141" s="2">
        <v>3</v>
      </c>
      <c r="Q141" s="2" t="s">
        <v>36</v>
      </c>
    </row>
    <row r="142" spans="1:17" x14ac:dyDescent="0.25">
      <c r="A142" s="2" t="s">
        <v>299</v>
      </c>
      <c r="B142" s="2">
        <v>41</v>
      </c>
      <c r="C142" s="2" t="s">
        <v>18</v>
      </c>
      <c r="D142" s="2" t="s">
        <v>19</v>
      </c>
      <c r="E142" s="2" t="s">
        <v>110</v>
      </c>
      <c r="F142" s="2" t="s">
        <v>189</v>
      </c>
      <c r="G142" s="2" t="s">
        <v>320</v>
      </c>
      <c r="H142" s="2">
        <v>1</v>
      </c>
      <c r="I142" s="2" t="s">
        <v>23</v>
      </c>
      <c r="J142" s="2">
        <v>4269</v>
      </c>
      <c r="K142" s="2">
        <v>1</v>
      </c>
      <c r="L142" s="2" t="s">
        <v>24</v>
      </c>
      <c r="M142" s="2">
        <v>4</v>
      </c>
      <c r="N142" s="2">
        <v>1</v>
      </c>
      <c r="O142" s="2">
        <v>3</v>
      </c>
      <c r="P142" s="2">
        <v>4</v>
      </c>
      <c r="Q142" s="2" t="s">
        <v>36</v>
      </c>
    </row>
    <row r="143" spans="1:17" x14ac:dyDescent="0.25">
      <c r="A143" s="2" t="s">
        <v>773</v>
      </c>
      <c r="B143" s="2">
        <v>42</v>
      </c>
      <c r="C143" s="2" t="s">
        <v>18</v>
      </c>
      <c r="D143" s="2" t="s">
        <v>33</v>
      </c>
      <c r="E143" s="2" t="s">
        <v>20</v>
      </c>
      <c r="F143" s="2" t="s">
        <v>21</v>
      </c>
      <c r="G143" s="2" t="s">
        <v>322</v>
      </c>
      <c r="H143" s="2">
        <v>4</v>
      </c>
      <c r="I143" s="2" t="s">
        <v>42</v>
      </c>
      <c r="J143" s="2">
        <v>13411</v>
      </c>
      <c r="K143" s="2">
        <v>9</v>
      </c>
      <c r="L143" s="2" t="s">
        <v>36</v>
      </c>
      <c r="M143" s="2">
        <v>2</v>
      </c>
      <c r="N143" s="2">
        <v>2</v>
      </c>
      <c r="O143" s="2">
        <v>3</v>
      </c>
      <c r="P143" s="2">
        <v>5</v>
      </c>
      <c r="Q143" s="2" t="s">
        <v>24</v>
      </c>
    </row>
    <row r="144" spans="1:17" x14ac:dyDescent="0.25">
      <c r="A144" s="2" t="s">
        <v>631</v>
      </c>
      <c r="B144" s="2">
        <v>37</v>
      </c>
      <c r="C144" s="2" t="s">
        <v>18</v>
      </c>
      <c r="D144" s="2" t="s">
        <v>33</v>
      </c>
      <c r="E144" s="2" t="s">
        <v>28</v>
      </c>
      <c r="F144" s="2" t="s">
        <v>34</v>
      </c>
      <c r="G144" s="2" t="s">
        <v>324</v>
      </c>
      <c r="H144" s="2">
        <v>6</v>
      </c>
      <c r="I144" s="2" t="s">
        <v>31</v>
      </c>
      <c r="J144" s="2">
        <v>3944</v>
      </c>
      <c r="K144" s="2">
        <v>15</v>
      </c>
      <c r="L144" s="2" t="s">
        <v>24</v>
      </c>
      <c r="M144" s="2">
        <v>2</v>
      </c>
      <c r="N144" s="2">
        <v>3</v>
      </c>
      <c r="O144" s="2">
        <v>4</v>
      </c>
      <c r="P144" s="2">
        <v>2</v>
      </c>
      <c r="Q144" s="2" t="s">
        <v>24</v>
      </c>
    </row>
    <row r="145" spans="1:17" x14ac:dyDescent="0.25">
      <c r="A145" s="2" t="s">
        <v>878</v>
      </c>
      <c r="B145" s="2">
        <v>29</v>
      </c>
      <c r="C145" s="2" t="s">
        <v>18</v>
      </c>
      <c r="D145" s="2" t="s">
        <v>33</v>
      </c>
      <c r="E145" s="2" t="s">
        <v>110</v>
      </c>
      <c r="F145" s="2" t="s">
        <v>128</v>
      </c>
      <c r="G145" s="2" t="s">
        <v>326</v>
      </c>
      <c r="H145" s="2">
        <v>4</v>
      </c>
      <c r="I145" s="2" t="s">
        <v>42</v>
      </c>
      <c r="J145" s="2">
        <v>9655</v>
      </c>
      <c r="K145" s="2">
        <v>8</v>
      </c>
      <c r="L145" s="2" t="s">
        <v>24</v>
      </c>
      <c r="M145" s="2">
        <v>1</v>
      </c>
      <c r="N145" s="2">
        <v>2</v>
      </c>
      <c r="O145" s="2">
        <v>3</v>
      </c>
      <c r="P145" s="2">
        <v>2</v>
      </c>
      <c r="Q145" s="2" t="s">
        <v>24</v>
      </c>
    </row>
    <row r="146" spans="1:17" x14ac:dyDescent="0.25">
      <c r="A146" s="2" t="s">
        <v>317</v>
      </c>
      <c r="B146" s="2">
        <v>39</v>
      </c>
      <c r="C146" s="2" t="s">
        <v>18</v>
      </c>
      <c r="D146" s="2" t="s">
        <v>33</v>
      </c>
      <c r="E146" s="2" t="s">
        <v>28</v>
      </c>
      <c r="F146" s="2" t="s">
        <v>59</v>
      </c>
      <c r="G146" s="2" t="s">
        <v>328</v>
      </c>
      <c r="H146" s="2">
        <v>0</v>
      </c>
      <c r="I146" s="2" t="s">
        <v>23</v>
      </c>
      <c r="J146" s="2">
        <v>6138</v>
      </c>
      <c r="K146" s="2">
        <v>4</v>
      </c>
      <c r="L146" s="2" t="s">
        <v>36</v>
      </c>
      <c r="M146" s="2">
        <v>4</v>
      </c>
      <c r="N146" s="2">
        <v>4</v>
      </c>
      <c r="O146" s="2">
        <v>3</v>
      </c>
      <c r="P146" s="2">
        <v>2</v>
      </c>
      <c r="Q146" s="2" t="s">
        <v>24</v>
      </c>
    </row>
    <row r="147" spans="1:17" x14ac:dyDescent="0.25">
      <c r="A147" s="2" t="s">
        <v>734</v>
      </c>
      <c r="B147" s="2">
        <v>32</v>
      </c>
      <c r="C147" s="2" t="s">
        <v>26</v>
      </c>
      <c r="D147" s="2" t="s">
        <v>19</v>
      </c>
      <c r="E147" s="2" t="s">
        <v>28</v>
      </c>
      <c r="F147" s="2" t="s">
        <v>59</v>
      </c>
      <c r="G147" s="2" t="s">
        <v>330</v>
      </c>
      <c r="H147" s="2">
        <v>1</v>
      </c>
      <c r="I147" s="2" t="s">
        <v>23</v>
      </c>
      <c r="J147" s="2">
        <v>4004</v>
      </c>
      <c r="K147" s="2">
        <v>9</v>
      </c>
      <c r="L147" s="2" t="s">
        <v>36</v>
      </c>
      <c r="M147" s="2">
        <v>4</v>
      </c>
      <c r="N147" s="2">
        <v>3</v>
      </c>
      <c r="O147" s="2">
        <v>3</v>
      </c>
      <c r="P147" s="2">
        <v>5</v>
      </c>
      <c r="Q147" s="2" t="s">
        <v>36</v>
      </c>
    </row>
    <row r="148" spans="1:17" x14ac:dyDescent="0.25">
      <c r="A148" s="2" t="s">
        <v>824</v>
      </c>
      <c r="B148" s="2">
        <v>35</v>
      </c>
      <c r="C148" s="2" t="s">
        <v>26</v>
      </c>
      <c r="D148" s="2" t="s">
        <v>19</v>
      </c>
      <c r="E148" s="2" t="s">
        <v>28</v>
      </c>
      <c r="F148" s="2" t="s">
        <v>29</v>
      </c>
      <c r="G148" s="2" t="s">
        <v>332</v>
      </c>
      <c r="H148" s="2">
        <v>1</v>
      </c>
      <c r="I148" s="2" t="s">
        <v>23</v>
      </c>
      <c r="J148" s="2">
        <v>15640</v>
      </c>
      <c r="K148" s="2">
        <v>13</v>
      </c>
      <c r="L148" s="2" t="s">
        <v>36</v>
      </c>
      <c r="M148" s="2">
        <v>3</v>
      </c>
      <c r="N148" s="2">
        <v>4</v>
      </c>
      <c r="O148" s="2">
        <v>4</v>
      </c>
      <c r="P148" s="2">
        <v>4</v>
      </c>
      <c r="Q148" s="2" t="s">
        <v>24</v>
      </c>
    </row>
    <row r="149" spans="1:17" x14ac:dyDescent="0.25">
      <c r="A149" s="2" t="s">
        <v>409</v>
      </c>
      <c r="B149" s="2">
        <v>34</v>
      </c>
      <c r="C149" s="2" t="s">
        <v>18</v>
      </c>
      <c r="D149" s="2" t="s">
        <v>27</v>
      </c>
      <c r="E149" s="2" t="s">
        <v>28</v>
      </c>
      <c r="F149" s="2" t="s">
        <v>29</v>
      </c>
      <c r="G149" s="2" t="s">
        <v>334</v>
      </c>
      <c r="H149" s="2">
        <v>1</v>
      </c>
      <c r="I149" s="2" t="s">
        <v>23</v>
      </c>
      <c r="J149" s="2">
        <v>14834</v>
      </c>
      <c r="K149" s="2">
        <v>2</v>
      </c>
      <c r="L149" s="2" t="s">
        <v>36</v>
      </c>
      <c r="M149" s="2">
        <v>3</v>
      </c>
      <c r="N149" s="2">
        <v>3</v>
      </c>
      <c r="O149" s="2">
        <v>4</v>
      </c>
      <c r="P149" s="2">
        <v>1</v>
      </c>
      <c r="Q149" s="2" t="s">
        <v>24</v>
      </c>
    </row>
    <row r="150" spans="1:17" x14ac:dyDescent="0.25">
      <c r="A150" s="2" t="s">
        <v>596</v>
      </c>
      <c r="B150" s="2">
        <v>36</v>
      </c>
      <c r="C150" s="2" t="s">
        <v>26</v>
      </c>
      <c r="D150" s="2" t="s">
        <v>33</v>
      </c>
      <c r="E150" s="2" t="s">
        <v>28</v>
      </c>
      <c r="F150" s="2" t="s">
        <v>59</v>
      </c>
      <c r="G150" s="2" t="s">
        <v>336</v>
      </c>
      <c r="H150" s="2">
        <v>2</v>
      </c>
      <c r="I150" s="2" t="s">
        <v>23</v>
      </c>
      <c r="J150" s="2">
        <v>6494</v>
      </c>
      <c r="K150" s="2">
        <v>4</v>
      </c>
      <c r="L150" s="2" t="s">
        <v>24</v>
      </c>
      <c r="M150" s="2">
        <v>2</v>
      </c>
      <c r="N150" s="2">
        <v>3</v>
      </c>
      <c r="O150" s="2">
        <v>3</v>
      </c>
      <c r="P150" s="2">
        <v>0</v>
      </c>
      <c r="Q150" s="2" t="s">
        <v>24</v>
      </c>
    </row>
    <row r="151" spans="1:17" x14ac:dyDescent="0.25">
      <c r="A151" s="2" t="s">
        <v>505</v>
      </c>
      <c r="B151" s="2">
        <v>40</v>
      </c>
      <c r="C151" s="2" t="s">
        <v>26</v>
      </c>
      <c r="D151" s="2" t="s">
        <v>19</v>
      </c>
      <c r="E151" s="2" t="s">
        <v>20</v>
      </c>
      <c r="F151" s="2" t="s">
        <v>40</v>
      </c>
      <c r="G151" s="2" t="s">
        <v>338</v>
      </c>
      <c r="H151" s="2">
        <v>0</v>
      </c>
      <c r="I151" s="2" t="s">
        <v>23</v>
      </c>
      <c r="J151" s="2">
        <v>3599</v>
      </c>
      <c r="K151" s="2">
        <v>9</v>
      </c>
      <c r="L151" s="2" t="s">
        <v>36</v>
      </c>
      <c r="M151" s="2">
        <v>3</v>
      </c>
      <c r="N151" s="2">
        <v>3</v>
      </c>
      <c r="O151" s="2">
        <v>3</v>
      </c>
      <c r="P151" s="2">
        <v>2</v>
      </c>
      <c r="Q151" s="2" t="s">
        <v>24</v>
      </c>
    </row>
    <row r="152" spans="1:17" x14ac:dyDescent="0.25">
      <c r="A152" s="2" t="s">
        <v>496</v>
      </c>
      <c r="B152" s="2">
        <v>29</v>
      </c>
      <c r="C152" s="2" t="s">
        <v>26</v>
      </c>
      <c r="D152" s="2" t="s">
        <v>19</v>
      </c>
      <c r="E152" s="2" t="s">
        <v>28</v>
      </c>
      <c r="F152" s="2" t="s">
        <v>59</v>
      </c>
      <c r="G152" s="2" t="s">
        <v>340</v>
      </c>
      <c r="H152" s="2">
        <v>4</v>
      </c>
      <c r="I152" s="2" t="s">
        <v>42</v>
      </c>
      <c r="J152" s="2">
        <v>6906</v>
      </c>
      <c r="K152" s="2">
        <v>1</v>
      </c>
      <c r="L152" s="2" t="s">
        <v>36</v>
      </c>
      <c r="M152" s="2">
        <v>1</v>
      </c>
      <c r="N152" s="2">
        <v>3</v>
      </c>
      <c r="O152" s="2">
        <v>3</v>
      </c>
      <c r="P152" s="2">
        <v>0</v>
      </c>
      <c r="Q152" s="2" t="s">
        <v>24</v>
      </c>
    </row>
    <row r="153" spans="1:17" x14ac:dyDescent="0.25">
      <c r="A153" s="2" t="s">
        <v>349</v>
      </c>
      <c r="B153" s="2">
        <v>32</v>
      </c>
      <c r="C153" s="2" t="s">
        <v>26</v>
      </c>
      <c r="D153" s="2" t="s">
        <v>19</v>
      </c>
      <c r="E153" s="2" t="s">
        <v>110</v>
      </c>
      <c r="F153" s="2" t="s">
        <v>128</v>
      </c>
      <c r="G153" s="2" t="s">
        <v>342</v>
      </c>
      <c r="H153" s="2">
        <v>0</v>
      </c>
      <c r="I153" s="2" t="s">
        <v>23</v>
      </c>
      <c r="J153" s="2">
        <v>8983</v>
      </c>
      <c r="K153" s="2">
        <v>5</v>
      </c>
      <c r="L153" s="2" t="s">
        <v>24</v>
      </c>
      <c r="M153" s="2">
        <v>2</v>
      </c>
      <c r="N153" s="2">
        <v>3</v>
      </c>
      <c r="O153" s="2">
        <v>4</v>
      </c>
      <c r="P153" s="2">
        <v>3</v>
      </c>
      <c r="Q153" s="2" t="s">
        <v>24</v>
      </c>
    </row>
    <row r="154" spans="1:17" x14ac:dyDescent="0.25">
      <c r="A154" s="2" t="s">
        <v>1073</v>
      </c>
      <c r="B154" s="2">
        <v>22</v>
      </c>
      <c r="C154" s="2" t="s">
        <v>18</v>
      </c>
      <c r="D154" s="2" t="s">
        <v>33</v>
      </c>
      <c r="E154" s="2" t="s">
        <v>20</v>
      </c>
      <c r="F154" s="2" t="s">
        <v>21</v>
      </c>
      <c r="G154" s="2" t="s">
        <v>344</v>
      </c>
      <c r="H154" s="2">
        <v>2</v>
      </c>
      <c r="I154" s="2" t="s">
        <v>23</v>
      </c>
      <c r="J154" s="2">
        <v>9555</v>
      </c>
      <c r="K154" s="2">
        <v>4</v>
      </c>
      <c r="L154" s="2" t="s">
        <v>24</v>
      </c>
      <c r="M154" s="2">
        <v>1</v>
      </c>
      <c r="N154" s="2">
        <v>3</v>
      </c>
      <c r="O154" s="2">
        <v>3</v>
      </c>
      <c r="P154" s="2">
        <v>3</v>
      </c>
      <c r="Q154" s="2" t="s">
        <v>24</v>
      </c>
    </row>
    <row r="155" spans="1:17" x14ac:dyDescent="0.25">
      <c r="A155" s="2" t="s">
        <v>43</v>
      </c>
      <c r="B155" s="2">
        <v>27</v>
      </c>
      <c r="C155" s="2" t="s">
        <v>18</v>
      </c>
      <c r="D155" s="2" t="s">
        <v>19</v>
      </c>
      <c r="E155" s="2" t="s">
        <v>28</v>
      </c>
      <c r="F155" s="2" t="s">
        <v>59</v>
      </c>
      <c r="G155" s="2" t="s">
        <v>346</v>
      </c>
      <c r="H155" s="2">
        <v>2</v>
      </c>
      <c r="I155" s="2" t="s">
        <v>23</v>
      </c>
      <c r="J155" s="2">
        <v>6288</v>
      </c>
      <c r="K155" s="2">
        <v>7</v>
      </c>
      <c r="L155" s="2" t="s">
        <v>36</v>
      </c>
      <c r="M155" s="2">
        <v>4</v>
      </c>
      <c r="N155" s="2">
        <v>3</v>
      </c>
      <c r="O155" s="2">
        <v>3</v>
      </c>
      <c r="P155" s="2">
        <v>0</v>
      </c>
      <c r="Q155" s="2" t="s">
        <v>36</v>
      </c>
    </row>
    <row r="156" spans="1:17" x14ac:dyDescent="0.25">
      <c r="A156" s="2" t="s">
        <v>947</v>
      </c>
      <c r="B156" s="2">
        <v>43</v>
      </c>
      <c r="C156" s="2" t="s">
        <v>26</v>
      </c>
      <c r="D156" s="2" t="s">
        <v>19</v>
      </c>
      <c r="E156" s="2" t="s">
        <v>28</v>
      </c>
      <c r="F156" s="2" t="s">
        <v>64</v>
      </c>
      <c r="G156" s="2" t="s">
        <v>348</v>
      </c>
      <c r="H156" s="2">
        <v>2</v>
      </c>
      <c r="I156" s="2" t="s">
        <v>23</v>
      </c>
      <c r="J156" s="2">
        <v>4394</v>
      </c>
      <c r="K156" s="2">
        <v>10</v>
      </c>
      <c r="L156" s="2" t="s">
        <v>24</v>
      </c>
      <c r="M156" s="2">
        <v>4</v>
      </c>
      <c r="N156" s="2">
        <v>4</v>
      </c>
      <c r="O156" s="2">
        <v>4</v>
      </c>
      <c r="P156" s="2">
        <v>2</v>
      </c>
      <c r="Q156" s="2" t="s">
        <v>24</v>
      </c>
    </row>
    <row r="157" spans="1:17" x14ac:dyDescent="0.25">
      <c r="A157" s="2" t="s">
        <v>353</v>
      </c>
      <c r="B157" s="2">
        <v>31</v>
      </c>
      <c r="C157" s="2" t="s">
        <v>18</v>
      </c>
      <c r="D157" s="2" t="s">
        <v>27</v>
      </c>
      <c r="E157" s="2" t="s">
        <v>20</v>
      </c>
      <c r="F157" s="2" t="s">
        <v>21</v>
      </c>
      <c r="G157" s="2" t="s">
        <v>350</v>
      </c>
      <c r="H157" s="2">
        <v>13</v>
      </c>
      <c r="I157" s="2" t="s">
        <v>92</v>
      </c>
      <c r="J157" s="2">
        <v>11707</v>
      </c>
      <c r="K157" s="2">
        <v>2</v>
      </c>
      <c r="L157" s="2" t="s">
        <v>24</v>
      </c>
      <c r="M157" s="2">
        <v>2</v>
      </c>
      <c r="N157" s="2">
        <v>4</v>
      </c>
      <c r="O157" s="2">
        <v>3</v>
      </c>
      <c r="P157" s="2">
        <v>1</v>
      </c>
      <c r="Q157" s="2" t="s">
        <v>36</v>
      </c>
    </row>
    <row r="158" spans="1:17" x14ac:dyDescent="0.25">
      <c r="A158" s="2" t="s">
        <v>379</v>
      </c>
      <c r="B158" s="2">
        <v>26</v>
      </c>
      <c r="C158" s="2" t="s">
        <v>26</v>
      </c>
      <c r="D158" s="2" t="s">
        <v>27</v>
      </c>
      <c r="E158" s="2" t="s">
        <v>28</v>
      </c>
      <c r="F158" s="2" t="s">
        <v>29</v>
      </c>
      <c r="G158" s="2" t="s">
        <v>352</v>
      </c>
      <c r="H158" s="2">
        <v>7</v>
      </c>
      <c r="I158" s="2" t="s">
        <v>31</v>
      </c>
      <c r="J158" s="2">
        <v>15474</v>
      </c>
      <c r="K158" s="2">
        <v>20</v>
      </c>
      <c r="L158" s="2" t="s">
        <v>36</v>
      </c>
      <c r="M158" s="2">
        <v>2</v>
      </c>
      <c r="N158" s="2">
        <v>3</v>
      </c>
      <c r="O158" s="2">
        <v>3</v>
      </c>
      <c r="P158" s="2">
        <v>5</v>
      </c>
      <c r="Q158" s="2" t="s">
        <v>24</v>
      </c>
    </row>
    <row r="159" spans="1:17" x14ac:dyDescent="0.25">
      <c r="A159" s="2" t="s">
        <v>490</v>
      </c>
      <c r="B159" s="2">
        <v>20</v>
      </c>
      <c r="C159" s="2" t="s">
        <v>18</v>
      </c>
      <c r="D159" s="2" t="s">
        <v>27</v>
      </c>
      <c r="E159" s="2" t="s">
        <v>20</v>
      </c>
      <c r="F159" s="2" t="s">
        <v>40</v>
      </c>
      <c r="G159" s="2" t="s">
        <v>354</v>
      </c>
      <c r="H159" s="2">
        <v>7</v>
      </c>
      <c r="I159" s="2" t="s">
        <v>31</v>
      </c>
      <c r="J159" s="2">
        <v>3689</v>
      </c>
      <c r="K159" s="2">
        <v>22</v>
      </c>
      <c r="L159" s="2" t="s">
        <v>36</v>
      </c>
      <c r="M159" s="2">
        <v>2</v>
      </c>
      <c r="N159" s="2">
        <v>3</v>
      </c>
      <c r="O159" s="2">
        <v>3</v>
      </c>
      <c r="P159" s="2">
        <v>2</v>
      </c>
      <c r="Q159" s="2" t="s">
        <v>36</v>
      </c>
    </row>
    <row r="160" spans="1:17" x14ac:dyDescent="0.25">
      <c r="A160" s="2" t="s">
        <v>1099</v>
      </c>
      <c r="B160" s="2">
        <v>30</v>
      </c>
      <c r="C160" s="2" t="s">
        <v>18</v>
      </c>
      <c r="D160" s="2" t="s">
        <v>33</v>
      </c>
      <c r="E160" s="2" t="s">
        <v>28</v>
      </c>
      <c r="F160" s="2" t="s">
        <v>34</v>
      </c>
      <c r="G160" s="2" t="s">
        <v>356</v>
      </c>
      <c r="H160" s="2">
        <v>2</v>
      </c>
      <c r="I160" s="2" t="s">
        <v>23</v>
      </c>
      <c r="J160" s="2">
        <v>3776</v>
      </c>
      <c r="K160" s="2">
        <v>5</v>
      </c>
      <c r="L160" s="2" t="s">
        <v>36</v>
      </c>
      <c r="M160" s="2">
        <v>4</v>
      </c>
      <c r="N160" s="2">
        <v>4</v>
      </c>
      <c r="O160" s="2">
        <v>3</v>
      </c>
      <c r="P160" s="2">
        <v>5</v>
      </c>
      <c r="Q160" s="2" t="s">
        <v>24</v>
      </c>
    </row>
    <row r="161" spans="1:17" x14ac:dyDescent="0.25">
      <c r="A161" s="2" t="s">
        <v>753</v>
      </c>
      <c r="B161" s="2">
        <v>25</v>
      </c>
      <c r="C161" s="2" t="s">
        <v>26</v>
      </c>
      <c r="D161" s="2" t="s">
        <v>27</v>
      </c>
      <c r="E161" s="2" t="s">
        <v>28</v>
      </c>
      <c r="F161" s="2" t="s">
        <v>64</v>
      </c>
      <c r="G161" s="2" t="s">
        <v>358</v>
      </c>
      <c r="H161" s="2">
        <v>3</v>
      </c>
      <c r="I161" s="2" t="s">
        <v>42</v>
      </c>
      <c r="J161" s="2">
        <v>4909</v>
      </c>
      <c r="K161" s="2">
        <v>2</v>
      </c>
      <c r="L161" s="2" t="s">
        <v>36</v>
      </c>
      <c r="M161" s="2">
        <v>1</v>
      </c>
      <c r="N161" s="2">
        <v>3</v>
      </c>
      <c r="O161" s="2">
        <v>3</v>
      </c>
      <c r="P161" s="2">
        <v>2</v>
      </c>
      <c r="Q161" s="2" t="s">
        <v>24</v>
      </c>
    </row>
    <row r="162" spans="1:17" x14ac:dyDescent="0.25">
      <c r="A162" s="2" t="s">
        <v>549</v>
      </c>
      <c r="B162" s="2">
        <v>35</v>
      </c>
      <c r="C162" s="2" t="s">
        <v>18</v>
      </c>
      <c r="D162" s="2" t="s">
        <v>33</v>
      </c>
      <c r="E162" s="2" t="s">
        <v>20</v>
      </c>
      <c r="F162" s="2" t="s">
        <v>40</v>
      </c>
      <c r="G162" s="2" t="s">
        <v>360</v>
      </c>
      <c r="H162" s="2">
        <v>0</v>
      </c>
      <c r="I162" s="2" t="s">
        <v>23</v>
      </c>
      <c r="J162" s="2">
        <v>4543</v>
      </c>
      <c r="K162" s="2">
        <v>4</v>
      </c>
      <c r="L162" s="2" t="s">
        <v>24</v>
      </c>
      <c r="M162" s="2">
        <v>4</v>
      </c>
      <c r="N162" s="2">
        <v>4</v>
      </c>
      <c r="O162" s="2">
        <v>3</v>
      </c>
      <c r="P162" s="2">
        <v>1</v>
      </c>
      <c r="Q162" s="2" t="s">
        <v>24</v>
      </c>
    </row>
    <row r="163" spans="1:17" x14ac:dyDescent="0.25">
      <c r="A163" s="2" t="s">
        <v>710</v>
      </c>
      <c r="B163" s="2">
        <v>25</v>
      </c>
      <c r="C163" s="2" t="s">
        <v>18</v>
      </c>
      <c r="D163" s="2" t="s">
        <v>33</v>
      </c>
      <c r="E163" s="2" t="s">
        <v>28</v>
      </c>
      <c r="F163" s="2" t="s">
        <v>59</v>
      </c>
      <c r="G163" s="2" t="s">
        <v>362</v>
      </c>
      <c r="H163" s="2">
        <v>10</v>
      </c>
      <c r="I163" s="2" t="s">
        <v>31</v>
      </c>
      <c r="J163" s="2">
        <v>6347</v>
      </c>
      <c r="K163" s="2">
        <v>6</v>
      </c>
      <c r="L163" s="2" t="s">
        <v>36</v>
      </c>
      <c r="M163" s="2">
        <v>3</v>
      </c>
      <c r="N163" s="2">
        <v>4</v>
      </c>
      <c r="O163" s="2">
        <v>3</v>
      </c>
      <c r="P163" s="2">
        <v>5</v>
      </c>
      <c r="Q163" s="2" t="s">
        <v>24</v>
      </c>
    </row>
    <row r="164" spans="1:17" x14ac:dyDescent="0.25">
      <c r="A164" s="2" t="s">
        <v>201</v>
      </c>
      <c r="B164" s="2">
        <v>31</v>
      </c>
      <c r="C164" s="2" t="s">
        <v>18</v>
      </c>
      <c r="D164" s="2" t="s">
        <v>27</v>
      </c>
      <c r="E164" s="2" t="s">
        <v>20</v>
      </c>
      <c r="F164" s="2" t="s">
        <v>40</v>
      </c>
      <c r="G164" s="2" t="s">
        <v>364</v>
      </c>
      <c r="H164" s="2">
        <v>0</v>
      </c>
      <c r="I164" s="2" t="s">
        <v>23</v>
      </c>
      <c r="J164" s="2">
        <v>3396</v>
      </c>
      <c r="K164" s="2">
        <v>3</v>
      </c>
      <c r="L164" s="2" t="s">
        <v>24</v>
      </c>
      <c r="M164" s="2">
        <v>3</v>
      </c>
      <c r="N164" s="2">
        <v>2</v>
      </c>
      <c r="O164" s="2">
        <v>3</v>
      </c>
      <c r="P164" s="2">
        <v>3</v>
      </c>
      <c r="Q164" s="2" t="s">
        <v>24</v>
      </c>
    </row>
    <row r="165" spans="1:17" x14ac:dyDescent="0.25">
      <c r="A165" s="2" t="s">
        <v>949</v>
      </c>
      <c r="B165" s="2">
        <v>35</v>
      </c>
      <c r="C165" s="2" t="s">
        <v>18</v>
      </c>
      <c r="D165" s="2" t="s">
        <v>19</v>
      </c>
      <c r="E165" s="2" t="s">
        <v>110</v>
      </c>
      <c r="F165" s="2" t="s">
        <v>128</v>
      </c>
      <c r="G165" s="2" t="s">
        <v>366</v>
      </c>
      <c r="H165" s="2">
        <v>1</v>
      </c>
      <c r="I165" s="2" t="s">
        <v>23</v>
      </c>
      <c r="J165" s="2">
        <v>10255</v>
      </c>
      <c r="K165" s="2">
        <v>14</v>
      </c>
      <c r="L165" s="2" t="s">
        <v>24</v>
      </c>
      <c r="M165" s="2">
        <v>2</v>
      </c>
      <c r="N165" s="2">
        <v>4</v>
      </c>
      <c r="O165" s="2">
        <v>3</v>
      </c>
      <c r="P165" s="2">
        <v>4</v>
      </c>
      <c r="Q165" s="2" t="s">
        <v>24</v>
      </c>
    </row>
    <row r="166" spans="1:17" x14ac:dyDescent="0.25">
      <c r="A166" s="2" t="s">
        <v>657</v>
      </c>
      <c r="B166" s="2">
        <v>43</v>
      </c>
      <c r="C166" s="2" t="s">
        <v>18</v>
      </c>
      <c r="D166" s="2" t="s">
        <v>33</v>
      </c>
      <c r="E166" s="2" t="s">
        <v>28</v>
      </c>
      <c r="F166" s="2" t="s">
        <v>64</v>
      </c>
      <c r="G166" s="2" t="s">
        <v>368</v>
      </c>
      <c r="H166" s="2">
        <v>1</v>
      </c>
      <c r="I166" s="2" t="s">
        <v>23</v>
      </c>
      <c r="J166" s="2">
        <v>6315</v>
      </c>
      <c r="K166" s="2">
        <v>10</v>
      </c>
      <c r="L166" s="2" t="s">
        <v>24</v>
      </c>
      <c r="M166" s="2">
        <v>4</v>
      </c>
      <c r="N166" s="2">
        <v>2</v>
      </c>
      <c r="O166" s="2">
        <v>3</v>
      </c>
      <c r="P166" s="2">
        <v>3</v>
      </c>
      <c r="Q166" s="2" t="s">
        <v>24</v>
      </c>
    </row>
    <row r="167" spans="1:17" x14ac:dyDescent="0.25">
      <c r="A167" s="2" t="s">
        <v>906</v>
      </c>
      <c r="B167" s="2">
        <v>45</v>
      </c>
      <c r="C167" s="2" t="s">
        <v>18</v>
      </c>
      <c r="D167" s="2" t="s">
        <v>27</v>
      </c>
      <c r="E167" s="2" t="s">
        <v>20</v>
      </c>
      <c r="F167" s="2" t="s">
        <v>40</v>
      </c>
      <c r="G167" s="2" t="s">
        <v>370</v>
      </c>
      <c r="H167" s="2">
        <v>0</v>
      </c>
      <c r="I167" s="2" t="s">
        <v>23</v>
      </c>
      <c r="J167" s="2">
        <v>3357</v>
      </c>
      <c r="K167" s="2">
        <v>14</v>
      </c>
      <c r="L167" s="2" t="s">
        <v>36</v>
      </c>
      <c r="M167" s="2">
        <v>2</v>
      </c>
      <c r="N167" s="2">
        <v>2</v>
      </c>
      <c r="O167" s="2">
        <v>3</v>
      </c>
      <c r="P167" s="2">
        <v>1</v>
      </c>
      <c r="Q167" s="2" t="s">
        <v>36</v>
      </c>
    </row>
    <row r="168" spans="1:17" x14ac:dyDescent="0.25">
      <c r="A168" s="2" t="s">
        <v>659</v>
      </c>
      <c r="B168" s="2">
        <v>37</v>
      </c>
      <c r="C168" s="2" t="s">
        <v>26</v>
      </c>
      <c r="D168" s="2" t="s">
        <v>33</v>
      </c>
      <c r="E168" s="2" t="s">
        <v>20</v>
      </c>
      <c r="F168" s="2" t="s">
        <v>21</v>
      </c>
      <c r="G168" s="2" t="s">
        <v>372</v>
      </c>
      <c r="H168" s="2">
        <v>2</v>
      </c>
      <c r="I168" s="2" t="s">
        <v>23</v>
      </c>
      <c r="J168" s="2">
        <v>14284</v>
      </c>
      <c r="K168" s="2">
        <v>1</v>
      </c>
      <c r="L168" s="2" t="s">
        <v>24</v>
      </c>
      <c r="M168" s="2">
        <v>4</v>
      </c>
      <c r="N168" s="2">
        <v>3</v>
      </c>
      <c r="O168" s="2">
        <v>3</v>
      </c>
      <c r="P168" s="2">
        <v>3</v>
      </c>
      <c r="Q168" s="2" t="s">
        <v>24</v>
      </c>
    </row>
    <row r="169" spans="1:17" x14ac:dyDescent="0.25">
      <c r="A169" s="2" t="s">
        <v>1087</v>
      </c>
      <c r="B169" s="2">
        <v>32</v>
      </c>
      <c r="C169" s="2" t="s">
        <v>18</v>
      </c>
      <c r="D169" s="2" t="s">
        <v>19</v>
      </c>
      <c r="E169" s="2" t="s">
        <v>110</v>
      </c>
      <c r="F169" s="2" t="s">
        <v>111</v>
      </c>
      <c r="G169" s="2" t="s">
        <v>374</v>
      </c>
      <c r="H169" s="2">
        <v>4</v>
      </c>
      <c r="I169" s="2" t="s">
        <v>42</v>
      </c>
      <c r="J169" s="2">
        <v>5112</v>
      </c>
      <c r="K169" s="2">
        <v>2</v>
      </c>
      <c r="L169" s="2" t="s">
        <v>24</v>
      </c>
      <c r="M169" s="2">
        <v>4</v>
      </c>
      <c r="N169" s="2">
        <v>2</v>
      </c>
      <c r="O169" s="2">
        <v>3</v>
      </c>
      <c r="P169" s="2">
        <v>3</v>
      </c>
      <c r="Q169" s="2" t="s">
        <v>24</v>
      </c>
    </row>
    <row r="170" spans="1:17" x14ac:dyDescent="0.25">
      <c r="A170" s="2" t="s">
        <v>851</v>
      </c>
      <c r="B170" s="2">
        <v>27</v>
      </c>
      <c r="C170" s="2" t="s">
        <v>18</v>
      </c>
      <c r="D170" s="2" t="s">
        <v>19</v>
      </c>
      <c r="E170" s="2" t="s">
        <v>20</v>
      </c>
      <c r="F170" s="2" t="s">
        <v>40</v>
      </c>
      <c r="G170" s="2" t="s">
        <v>376</v>
      </c>
      <c r="H170" s="2">
        <v>3</v>
      </c>
      <c r="I170" s="2" t="s">
        <v>42</v>
      </c>
      <c r="J170" s="2">
        <v>4531</v>
      </c>
      <c r="K170" s="2">
        <v>1</v>
      </c>
      <c r="L170" s="2" t="s">
        <v>24</v>
      </c>
      <c r="M170" s="2">
        <v>4</v>
      </c>
      <c r="N170" s="2">
        <v>4</v>
      </c>
      <c r="O170" s="2">
        <v>3</v>
      </c>
      <c r="P170" s="2">
        <v>1</v>
      </c>
      <c r="Q170" s="2" t="s">
        <v>24</v>
      </c>
    </row>
    <row r="171" spans="1:17" x14ac:dyDescent="0.25">
      <c r="A171" s="2" t="s">
        <v>195</v>
      </c>
      <c r="B171" s="2">
        <v>36</v>
      </c>
      <c r="C171" s="2" t="s">
        <v>18</v>
      </c>
      <c r="D171" s="2" t="s">
        <v>33</v>
      </c>
      <c r="E171" s="2" t="s">
        <v>20</v>
      </c>
      <c r="F171" s="2" t="s">
        <v>44</v>
      </c>
      <c r="G171" s="2" t="s">
        <v>378</v>
      </c>
      <c r="H171" s="2">
        <v>2</v>
      </c>
      <c r="I171" s="2" t="s">
        <v>23</v>
      </c>
      <c r="J171" s="2">
        <v>5886</v>
      </c>
      <c r="K171" s="2">
        <v>7</v>
      </c>
      <c r="L171" s="2" t="s">
        <v>36</v>
      </c>
      <c r="M171" s="2">
        <v>1</v>
      </c>
      <c r="N171" s="2">
        <v>3</v>
      </c>
      <c r="O171" s="2">
        <v>3</v>
      </c>
      <c r="P171" s="2">
        <v>4</v>
      </c>
      <c r="Q171" s="2" t="s">
        <v>36</v>
      </c>
    </row>
    <row r="172" spans="1:17" x14ac:dyDescent="0.25">
      <c r="A172" s="2" t="s">
        <v>88</v>
      </c>
      <c r="B172" s="2">
        <v>28</v>
      </c>
      <c r="C172" s="2" t="s">
        <v>18</v>
      </c>
      <c r="D172" s="2" t="s">
        <v>33</v>
      </c>
      <c r="E172" s="2" t="s">
        <v>28</v>
      </c>
      <c r="F172" s="2" t="s">
        <v>59</v>
      </c>
      <c r="G172" s="2" t="s">
        <v>380</v>
      </c>
      <c r="H172" s="2">
        <v>7</v>
      </c>
      <c r="I172" s="2" t="s">
        <v>31</v>
      </c>
      <c r="J172" s="2">
        <v>6749</v>
      </c>
      <c r="K172" s="2">
        <v>28</v>
      </c>
      <c r="L172" s="2" t="s">
        <v>36</v>
      </c>
      <c r="M172" s="2">
        <v>3</v>
      </c>
      <c r="N172" s="2">
        <v>2</v>
      </c>
      <c r="O172" s="2">
        <v>4</v>
      </c>
      <c r="P172" s="2">
        <v>4</v>
      </c>
      <c r="Q172" s="2" t="s">
        <v>36</v>
      </c>
    </row>
    <row r="173" spans="1:17" x14ac:dyDescent="0.25">
      <c r="A173" s="2" t="s">
        <v>1050</v>
      </c>
      <c r="B173" s="2">
        <v>28</v>
      </c>
      <c r="C173" s="2" t="s">
        <v>26</v>
      </c>
      <c r="D173" s="2" t="s">
        <v>19</v>
      </c>
      <c r="E173" s="2" t="s">
        <v>28</v>
      </c>
      <c r="F173" s="2" t="s">
        <v>64</v>
      </c>
      <c r="G173" s="2" t="s">
        <v>382</v>
      </c>
      <c r="H173" s="2">
        <v>0</v>
      </c>
      <c r="I173" s="2" t="s">
        <v>23</v>
      </c>
      <c r="J173" s="2">
        <v>5341</v>
      </c>
      <c r="K173" s="2">
        <v>1</v>
      </c>
      <c r="L173" s="2" t="s">
        <v>24</v>
      </c>
      <c r="M173" s="2">
        <v>1</v>
      </c>
      <c r="N173" s="2">
        <v>2</v>
      </c>
      <c r="O173" s="2">
        <v>3</v>
      </c>
      <c r="P173" s="2">
        <v>1</v>
      </c>
      <c r="Q173" s="2" t="s">
        <v>36</v>
      </c>
    </row>
    <row r="174" spans="1:17" x14ac:dyDescent="0.25">
      <c r="A174" s="2" t="s">
        <v>941</v>
      </c>
      <c r="B174" s="2">
        <v>31</v>
      </c>
      <c r="C174" s="2" t="s">
        <v>26</v>
      </c>
      <c r="D174" s="2" t="s">
        <v>19</v>
      </c>
      <c r="E174" s="2" t="s">
        <v>28</v>
      </c>
      <c r="F174" s="2" t="s">
        <v>64</v>
      </c>
      <c r="G174" s="2" t="s">
        <v>384</v>
      </c>
      <c r="H174" s="2">
        <v>3</v>
      </c>
      <c r="I174" s="2" t="s">
        <v>42</v>
      </c>
      <c r="J174" s="2">
        <v>4778</v>
      </c>
      <c r="K174" s="2">
        <v>10</v>
      </c>
      <c r="L174" s="2" t="s">
        <v>24</v>
      </c>
      <c r="M174" s="2">
        <v>1</v>
      </c>
      <c r="N174" s="2">
        <v>3</v>
      </c>
      <c r="O174" s="2">
        <v>4</v>
      </c>
      <c r="P174" s="2">
        <v>1</v>
      </c>
      <c r="Q174" s="2" t="s">
        <v>24</v>
      </c>
    </row>
    <row r="175" spans="1:17" x14ac:dyDescent="0.25">
      <c r="A175" s="2" t="s">
        <v>461</v>
      </c>
      <c r="B175" s="2">
        <v>36</v>
      </c>
      <c r="C175" s="2" t="s">
        <v>18</v>
      </c>
      <c r="D175" s="2" t="s">
        <v>27</v>
      </c>
      <c r="E175" s="2" t="s">
        <v>28</v>
      </c>
      <c r="F175" s="2" t="s">
        <v>34</v>
      </c>
      <c r="G175" s="2" t="s">
        <v>386</v>
      </c>
      <c r="H175" s="2">
        <v>5</v>
      </c>
      <c r="I175" s="2" t="s">
        <v>42</v>
      </c>
      <c r="J175" s="2">
        <v>3122</v>
      </c>
      <c r="K175" s="2">
        <v>12</v>
      </c>
      <c r="L175" s="2" t="s">
        <v>36</v>
      </c>
      <c r="M175" s="2">
        <v>2</v>
      </c>
      <c r="N175" s="2">
        <v>2</v>
      </c>
      <c r="O175" s="2">
        <v>3</v>
      </c>
      <c r="P175" s="2">
        <v>4</v>
      </c>
      <c r="Q175" s="2" t="s">
        <v>24</v>
      </c>
    </row>
    <row r="176" spans="1:17" x14ac:dyDescent="0.25">
      <c r="A176" s="2" t="s">
        <v>74</v>
      </c>
      <c r="B176" s="2">
        <v>34</v>
      </c>
      <c r="C176" s="2" t="s">
        <v>18</v>
      </c>
      <c r="D176" s="2" t="s">
        <v>19</v>
      </c>
      <c r="E176" s="2" t="s">
        <v>20</v>
      </c>
      <c r="F176" s="2" t="s">
        <v>21</v>
      </c>
      <c r="G176" s="2" t="s">
        <v>388</v>
      </c>
      <c r="H176" s="2">
        <v>8</v>
      </c>
      <c r="I176" s="2" t="s">
        <v>31</v>
      </c>
      <c r="J176" s="2">
        <v>11114</v>
      </c>
      <c r="K176" s="2">
        <v>1</v>
      </c>
      <c r="L176" s="2" t="s">
        <v>24</v>
      </c>
      <c r="M176" s="2">
        <v>3</v>
      </c>
      <c r="N176" s="2">
        <v>4</v>
      </c>
      <c r="O176" s="2">
        <v>4</v>
      </c>
      <c r="P176" s="2">
        <v>4</v>
      </c>
      <c r="Q176" s="2" t="s">
        <v>24</v>
      </c>
    </row>
    <row r="177" spans="1:17" x14ac:dyDescent="0.25">
      <c r="A177" s="2" t="s">
        <v>235</v>
      </c>
      <c r="B177" s="2">
        <v>20</v>
      </c>
      <c r="C177" s="2" t="s">
        <v>26</v>
      </c>
      <c r="D177" s="2" t="s">
        <v>33</v>
      </c>
      <c r="E177" s="2" t="s">
        <v>20</v>
      </c>
      <c r="F177" s="2" t="s">
        <v>21</v>
      </c>
      <c r="G177" s="2" t="s">
        <v>390</v>
      </c>
      <c r="H177" s="2">
        <v>2</v>
      </c>
      <c r="I177" s="2" t="s">
        <v>23</v>
      </c>
      <c r="J177" s="2">
        <v>11295</v>
      </c>
      <c r="K177" s="2">
        <v>7</v>
      </c>
      <c r="L177" s="2" t="s">
        <v>24</v>
      </c>
      <c r="M177" s="2">
        <v>4</v>
      </c>
      <c r="N177" s="2">
        <v>4</v>
      </c>
      <c r="O177" s="2">
        <v>3</v>
      </c>
      <c r="P177" s="2">
        <v>2</v>
      </c>
      <c r="Q177" s="2" t="s">
        <v>24</v>
      </c>
    </row>
    <row r="178" spans="1:17" x14ac:dyDescent="0.25">
      <c r="A178" s="2" t="s">
        <v>1036</v>
      </c>
      <c r="B178" s="2">
        <v>33</v>
      </c>
      <c r="C178" s="2" t="s">
        <v>26</v>
      </c>
      <c r="D178" s="2" t="s">
        <v>33</v>
      </c>
      <c r="E178" s="2" t="s">
        <v>28</v>
      </c>
      <c r="F178" s="2" t="s">
        <v>29</v>
      </c>
      <c r="G178" s="2" t="s">
        <v>392</v>
      </c>
      <c r="H178" s="2">
        <v>5</v>
      </c>
      <c r="I178" s="2" t="s">
        <v>42</v>
      </c>
      <c r="J178" s="2">
        <v>14204</v>
      </c>
      <c r="K178" s="2">
        <v>3</v>
      </c>
      <c r="L178" s="2" t="s">
        <v>24</v>
      </c>
      <c r="M178" s="2">
        <v>3</v>
      </c>
      <c r="N178" s="2">
        <v>4</v>
      </c>
      <c r="O178" s="2">
        <v>3</v>
      </c>
      <c r="P178" s="2">
        <v>4</v>
      </c>
      <c r="Q178" s="2" t="s">
        <v>24</v>
      </c>
    </row>
    <row r="179" spans="1:17" x14ac:dyDescent="0.25">
      <c r="A179" s="2" t="s">
        <v>1098</v>
      </c>
      <c r="B179" s="2">
        <v>33</v>
      </c>
      <c r="C179" s="2" t="s">
        <v>26</v>
      </c>
      <c r="D179" s="2" t="s">
        <v>33</v>
      </c>
      <c r="E179" s="2" t="s">
        <v>28</v>
      </c>
      <c r="F179" s="2" t="s">
        <v>34</v>
      </c>
      <c r="G179" s="2" t="s">
        <v>394</v>
      </c>
      <c r="H179" s="2">
        <v>4</v>
      </c>
      <c r="I179" s="2" t="s">
        <v>42</v>
      </c>
      <c r="J179" s="2">
        <v>3241</v>
      </c>
      <c r="K179" s="2">
        <v>2</v>
      </c>
      <c r="L179" s="2" t="s">
        <v>24</v>
      </c>
      <c r="M179" s="2">
        <v>2</v>
      </c>
      <c r="N179" s="2">
        <v>1</v>
      </c>
      <c r="O179" s="2">
        <v>3</v>
      </c>
      <c r="P179" s="2">
        <v>4</v>
      </c>
      <c r="Q179" s="2" t="s">
        <v>24</v>
      </c>
    </row>
    <row r="180" spans="1:17" x14ac:dyDescent="0.25">
      <c r="A180" s="2" t="s">
        <v>953</v>
      </c>
      <c r="B180" s="2">
        <v>21</v>
      </c>
      <c r="C180" s="2" t="s">
        <v>18</v>
      </c>
      <c r="D180" s="2" t="s">
        <v>19</v>
      </c>
      <c r="E180" s="2" t="s">
        <v>20</v>
      </c>
      <c r="F180" s="2" t="s">
        <v>40</v>
      </c>
      <c r="G180" s="2" t="s">
        <v>396</v>
      </c>
      <c r="H180" s="2">
        <v>2</v>
      </c>
      <c r="I180" s="2" t="s">
        <v>23</v>
      </c>
      <c r="J180" s="2">
        <v>3513</v>
      </c>
      <c r="K180" s="2">
        <v>2</v>
      </c>
      <c r="L180" s="2" t="s">
        <v>24</v>
      </c>
      <c r="M180" s="2">
        <v>4</v>
      </c>
      <c r="N180" s="2">
        <v>3</v>
      </c>
      <c r="O180" s="2">
        <v>3</v>
      </c>
      <c r="P180" s="2">
        <v>1</v>
      </c>
      <c r="Q180" s="2" t="s">
        <v>36</v>
      </c>
    </row>
    <row r="181" spans="1:17" x14ac:dyDescent="0.25">
      <c r="A181" s="2" t="s">
        <v>593</v>
      </c>
      <c r="B181" s="2">
        <v>45</v>
      </c>
      <c r="C181" s="2" t="s">
        <v>26</v>
      </c>
      <c r="D181" s="2" t="s">
        <v>19</v>
      </c>
      <c r="E181" s="2" t="s">
        <v>20</v>
      </c>
      <c r="F181" s="2" t="s">
        <v>40</v>
      </c>
      <c r="G181" s="2" t="s">
        <v>398</v>
      </c>
      <c r="H181" s="2">
        <v>0</v>
      </c>
      <c r="I181" s="2" t="s">
        <v>23</v>
      </c>
      <c r="J181" s="2">
        <v>3864</v>
      </c>
      <c r="K181" s="2">
        <v>1</v>
      </c>
      <c r="L181" s="2" t="s">
        <v>24</v>
      </c>
      <c r="M181" s="2">
        <v>4</v>
      </c>
      <c r="N181" s="2">
        <v>1</v>
      </c>
      <c r="O181" s="2">
        <v>3</v>
      </c>
      <c r="P181" s="2">
        <v>2</v>
      </c>
      <c r="Q181" s="2" t="s">
        <v>24</v>
      </c>
    </row>
    <row r="182" spans="1:17" x14ac:dyDescent="0.25">
      <c r="A182" s="2" t="s">
        <v>855</v>
      </c>
      <c r="B182" s="2">
        <v>30</v>
      </c>
      <c r="C182" s="2" t="s">
        <v>18</v>
      </c>
      <c r="D182" s="2" t="s">
        <v>33</v>
      </c>
      <c r="E182" s="2" t="s">
        <v>20</v>
      </c>
      <c r="F182" s="2" t="s">
        <v>21</v>
      </c>
      <c r="G182" s="2" t="s">
        <v>400</v>
      </c>
      <c r="H182" s="2">
        <v>4</v>
      </c>
      <c r="I182" s="2" t="s">
        <v>42</v>
      </c>
      <c r="J182" s="2">
        <v>14262</v>
      </c>
      <c r="K182" s="2">
        <v>7</v>
      </c>
      <c r="L182" s="2" t="s">
        <v>24</v>
      </c>
      <c r="M182" s="2">
        <v>4</v>
      </c>
      <c r="N182" s="2">
        <v>3</v>
      </c>
      <c r="O182" s="2">
        <v>3</v>
      </c>
      <c r="P182" s="2">
        <v>3</v>
      </c>
      <c r="Q182" s="2" t="s">
        <v>36</v>
      </c>
    </row>
    <row r="183" spans="1:17" x14ac:dyDescent="0.25">
      <c r="A183" s="2" t="s">
        <v>154</v>
      </c>
      <c r="B183" s="2">
        <v>25</v>
      </c>
      <c r="C183" s="2" t="s">
        <v>26</v>
      </c>
      <c r="D183" s="2" t="s">
        <v>19</v>
      </c>
      <c r="E183" s="2" t="s">
        <v>28</v>
      </c>
      <c r="F183" s="2" t="s">
        <v>64</v>
      </c>
      <c r="G183" s="2" t="s">
        <v>402</v>
      </c>
      <c r="H183" s="2">
        <v>1</v>
      </c>
      <c r="I183" s="2" t="s">
        <v>23</v>
      </c>
      <c r="J183" s="2">
        <v>5940</v>
      </c>
      <c r="K183" s="2">
        <v>8</v>
      </c>
      <c r="L183" s="2" t="s">
        <v>36</v>
      </c>
      <c r="M183" s="2">
        <v>2</v>
      </c>
      <c r="N183" s="2">
        <v>4</v>
      </c>
      <c r="O183" s="2">
        <v>3</v>
      </c>
      <c r="P183" s="2">
        <v>4</v>
      </c>
      <c r="Q183" s="2" t="s">
        <v>24</v>
      </c>
    </row>
    <row r="184" spans="1:17" x14ac:dyDescent="0.25">
      <c r="A184" s="2" t="s">
        <v>1044</v>
      </c>
      <c r="B184" s="2">
        <v>30</v>
      </c>
      <c r="C184" s="2" t="s">
        <v>18</v>
      </c>
      <c r="D184" s="2" t="s">
        <v>19</v>
      </c>
      <c r="E184" s="2" t="s">
        <v>20</v>
      </c>
      <c r="F184" s="2" t="s">
        <v>44</v>
      </c>
      <c r="G184" s="2" t="s">
        <v>404</v>
      </c>
      <c r="H184" s="2">
        <v>1</v>
      </c>
      <c r="I184" s="2" t="s">
        <v>23</v>
      </c>
      <c r="J184" s="2">
        <v>6664</v>
      </c>
      <c r="K184" s="2">
        <v>1</v>
      </c>
      <c r="L184" s="2" t="s">
        <v>24</v>
      </c>
      <c r="M184" s="2">
        <v>4</v>
      </c>
      <c r="N184" s="2">
        <v>1</v>
      </c>
      <c r="O184" s="2">
        <v>3</v>
      </c>
      <c r="P184" s="2">
        <v>4</v>
      </c>
      <c r="Q184" s="2" t="s">
        <v>24</v>
      </c>
    </row>
    <row r="185" spans="1:17" x14ac:dyDescent="0.25">
      <c r="A185" s="2" t="s">
        <v>68</v>
      </c>
      <c r="B185" s="2">
        <v>31</v>
      </c>
      <c r="C185" s="2" t="s">
        <v>26</v>
      </c>
      <c r="D185" s="2" t="s">
        <v>33</v>
      </c>
      <c r="E185" s="2" t="s">
        <v>28</v>
      </c>
      <c r="F185" s="2" t="s">
        <v>34</v>
      </c>
      <c r="G185" s="2" t="s">
        <v>406</v>
      </c>
      <c r="H185" s="2">
        <v>1</v>
      </c>
      <c r="I185" s="2" t="s">
        <v>23</v>
      </c>
      <c r="J185" s="2">
        <v>3877</v>
      </c>
      <c r="K185" s="2">
        <v>1</v>
      </c>
      <c r="L185" s="2" t="s">
        <v>36</v>
      </c>
      <c r="M185" s="2">
        <v>1</v>
      </c>
      <c r="N185" s="2">
        <v>3</v>
      </c>
      <c r="O185" s="2">
        <v>3</v>
      </c>
      <c r="P185" s="2">
        <v>3</v>
      </c>
      <c r="Q185" s="2" t="s">
        <v>24</v>
      </c>
    </row>
    <row r="186" spans="1:17" x14ac:dyDescent="0.25">
      <c r="A186" s="2" t="s">
        <v>987</v>
      </c>
      <c r="B186" s="2">
        <v>20</v>
      </c>
      <c r="C186" s="2" t="s">
        <v>26</v>
      </c>
      <c r="D186" s="2" t="s">
        <v>19</v>
      </c>
      <c r="E186" s="2" t="s">
        <v>28</v>
      </c>
      <c r="F186" s="2" t="s">
        <v>64</v>
      </c>
      <c r="G186" s="2" t="s">
        <v>408</v>
      </c>
      <c r="H186" s="2">
        <v>0</v>
      </c>
      <c r="I186" s="2" t="s">
        <v>23</v>
      </c>
      <c r="J186" s="2">
        <v>5716</v>
      </c>
      <c r="K186" s="2">
        <v>3</v>
      </c>
      <c r="L186" s="2" t="s">
        <v>24</v>
      </c>
      <c r="M186" s="2">
        <v>4</v>
      </c>
      <c r="N186" s="2">
        <v>4</v>
      </c>
      <c r="O186" s="2">
        <v>3</v>
      </c>
      <c r="P186" s="2">
        <v>4</v>
      </c>
      <c r="Q186" s="2" t="s">
        <v>24</v>
      </c>
    </row>
    <row r="187" spans="1:17" x14ac:dyDescent="0.25">
      <c r="A187" s="2" t="s">
        <v>367</v>
      </c>
      <c r="B187" s="2">
        <v>38</v>
      </c>
      <c r="C187" s="2" t="s">
        <v>26</v>
      </c>
      <c r="D187" s="2" t="s">
        <v>19</v>
      </c>
      <c r="E187" s="2" t="s">
        <v>20</v>
      </c>
      <c r="F187" s="2" t="s">
        <v>40</v>
      </c>
      <c r="G187" s="2" t="s">
        <v>410</v>
      </c>
      <c r="H187" s="2">
        <v>1</v>
      </c>
      <c r="I187" s="2" t="s">
        <v>23</v>
      </c>
      <c r="J187" s="2">
        <v>4126</v>
      </c>
      <c r="K187" s="2">
        <v>12</v>
      </c>
      <c r="L187" s="2" t="s">
        <v>24</v>
      </c>
      <c r="M187" s="2">
        <v>4</v>
      </c>
      <c r="N187" s="2">
        <v>3</v>
      </c>
      <c r="O187" s="2">
        <v>3</v>
      </c>
      <c r="P187" s="2">
        <v>5</v>
      </c>
      <c r="Q187" s="2" t="s">
        <v>24</v>
      </c>
    </row>
    <row r="188" spans="1:17" x14ac:dyDescent="0.25">
      <c r="A188" s="2" t="s">
        <v>621</v>
      </c>
      <c r="B188" s="2">
        <v>34</v>
      </c>
      <c r="C188" s="2" t="s">
        <v>26</v>
      </c>
      <c r="D188" s="2" t="s">
        <v>33</v>
      </c>
      <c r="E188" s="2" t="s">
        <v>20</v>
      </c>
      <c r="F188" s="2" t="s">
        <v>40</v>
      </c>
      <c r="G188" s="2" t="s">
        <v>412</v>
      </c>
      <c r="H188" s="2">
        <v>7</v>
      </c>
      <c r="I188" s="2" t="s">
        <v>31</v>
      </c>
      <c r="J188" s="2">
        <v>5681</v>
      </c>
      <c r="K188" s="2">
        <v>6</v>
      </c>
      <c r="L188" s="2" t="s">
        <v>24</v>
      </c>
      <c r="M188" s="2">
        <v>4</v>
      </c>
      <c r="N188" s="2">
        <v>2</v>
      </c>
      <c r="O188" s="2">
        <v>3</v>
      </c>
      <c r="P188" s="2">
        <v>2</v>
      </c>
      <c r="Q188" s="2" t="s">
        <v>24</v>
      </c>
    </row>
    <row r="189" spans="1:17" x14ac:dyDescent="0.25">
      <c r="A189" s="2" t="s">
        <v>605</v>
      </c>
      <c r="B189" s="2">
        <v>38</v>
      </c>
      <c r="C189" s="2" t="s">
        <v>18</v>
      </c>
      <c r="D189" s="2" t="s">
        <v>19</v>
      </c>
      <c r="E189" s="2" t="s">
        <v>28</v>
      </c>
      <c r="F189" s="2" t="s">
        <v>59</v>
      </c>
      <c r="G189" s="2" t="s">
        <v>414</v>
      </c>
      <c r="H189" s="2">
        <v>0</v>
      </c>
      <c r="I189" s="2" t="s">
        <v>23</v>
      </c>
      <c r="J189" s="2">
        <v>5930</v>
      </c>
      <c r="K189" s="2">
        <v>1</v>
      </c>
      <c r="L189" s="2" t="s">
        <v>36</v>
      </c>
      <c r="M189" s="2">
        <v>3</v>
      </c>
      <c r="N189" s="2">
        <v>3</v>
      </c>
      <c r="O189" s="2">
        <v>3</v>
      </c>
      <c r="P189" s="2">
        <v>3</v>
      </c>
      <c r="Q189" s="2" t="s">
        <v>24</v>
      </c>
    </row>
    <row r="190" spans="1:17" x14ac:dyDescent="0.25">
      <c r="A190" s="2" t="s">
        <v>661</v>
      </c>
      <c r="B190" s="2">
        <v>30</v>
      </c>
      <c r="C190" s="2" t="s">
        <v>18</v>
      </c>
      <c r="D190" s="2" t="s">
        <v>33</v>
      </c>
      <c r="E190" s="2" t="s">
        <v>20</v>
      </c>
      <c r="F190" s="2" t="s">
        <v>44</v>
      </c>
      <c r="G190" s="2" t="s">
        <v>416</v>
      </c>
      <c r="H190" s="2">
        <v>2</v>
      </c>
      <c r="I190" s="2" t="s">
        <v>23</v>
      </c>
      <c r="J190" s="2">
        <v>5222</v>
      </c>
      <c r="K190" s="2">
        <v>20</v>
      </c>
      <c r="L190" s="2" t="s">
        <v>36</v>
      </c>
      <c r="M190" s="2">
        <v>3</v>
      </c>
      <c r="N190" s="2">
        <v>3</v>
      </c>
      <c r="O190" s="2">
        <v>3</v>
      </c>
      <c r="P190" s="2">
        <v>2</v>
      </c>
      <c r="Q190" s="2" t="s">
        <v>24</v>
      </c>
    </row>
    <row r="191" spans="1:17" x14ac:dyDescent="0.25">
      <c r="A191" s="2" t="s">
        <v>790</v>
      </c>
      <c r="B191" s="2">
        <v>29</v>
      </c>
      <c r="C191" s="2" t="s">
        <v>26</v>
      </c>
      <c r="D191" s="2" t="s">
        <v>33</v>
      </c>
      <c r="E191" s="2" t="s">
        <v>28</v>
      </c>
      <c r="F191" s="2" t="s">
        <v>59</v>
      </c>
      <c r="G191" s="2" t="s">
        <v>316</v>
      </c>
      <c r="H191" s="2">
        <v>0</v>
      </c>
      <c r="I191" s="2" t="s">
        <v>23</v>
      </c>
      <c r="J191" s="2">
        <v>7319</v>
      </c>
      <c r="K191" s="2">
        <v>2</v>
      </c>
      <c r="L191" s="2" t="s">
        <v>36</v>
      </c>
      <c r="M191" s="2">
        <v>3</v>
      </c>
      <c r="N191" s="2">
        <v>4</v>
      </c>
      <c r="O191" s="2">
        <v>3</v>
      </c>
      <c r="P191" s="2">
        <v>0</v>
      </c>
      <c r="Q191" s="2" t="s">
        <v>24</v>
      </c>
    </row>
    <row r="192" spans="1:17" x14ac:dyDescent="0.25">
      <c r="A192" s="2" t="s">
        <v>119</v>
      </c>
      <c r="B192" s="2">
        <v>43</v>
      </c>
      <c r="C192" s="2" t="s">
        <v>26</v>
      </c>
      <c r="D192" s="2" t="s">
        <v>33</v>
      </c>
      <c r="E192" s="2" t="s">
        <v>20</v>
      </c>
      <c r="F192" s="2" t="s">
        <v>21</v>
      </c>
      <c r="G192" s="2" t="s">
        <v>419</v>
      </c>
      <c r="H192" s="2">
        <v>5</v>
      </c>
      <c r="I192" s="2" t="s">
        <v>42</v>
      </c>
      <c r="J192" s="2">
        <v>13099</v>
      </c>
      <c r="K192" s="2">
        <v>1</v>
      </c>
      <c r="L192" s="2" t="s">
        <v>36</v>
      </c>
      <c r="M192" s="2">
        <v>3</v>
      </c>
      <c r="N192" s="2">
        <v>4</v>
      </c>
      <c r="O192" s="2">
        <v>3</v>
      </c>
      <c r="P192" s="2">
        <v>5</v>
      </c>
      <c r="Q192" s="2" t="s">
        <v>36</v>
      </c>
    </row>
    <row r="193" spans="1:17" x14ac:dyDescent="0.25">
      <c r="A193" s="2" t="s">
        <v>757</v>
      </c>
      <c r="B193" s="2">
        <v>29</v>
      </c>
      <c r="C193" s="2" t="s">
        <v>18</v>
      </c>
      <c r="D193" s="2" t="s">
        <v>33</v>
      </c>
      <c r="E193" s="2" t="s">
        <v>28</v>
      </c>
      <c r="F193" s="2" t="s">
        <v>59</v>
      </c>
      <c r="G193" s="2" t="s">
        <v>421</v>
      </c>
      <c r="H193" s="2">
        <v>5</v>
      </c>
      <c r="I193" s="2" t="s">
        <v>42</v>
      </c>
      <c r="J193" s="2">
        <v>7594</v>
      </c>
      <c r="K193" s="2">
        <v>11</v>
      </c>
      <c r="L193" s="2" t="s">
        <v>36</v>
      </c>
      <c r="M193" s="2">
        <v>2</v>
      </c>
      <c r="N193" s="2">
        <v>4</v>
      </c>
      <c r="O193" s="2">
        <v>3</v>
      </c>
      <c r="P193" s="2">
        <v>1</v>
      </c>
      <c r="Q193" s="2" t="s">
        <v>36</v>
      </c>
    </row>
    <row r="194" spans="1:17" x14ac:dyDescent="0.25">
      <c r="A194" s="2" t="s">
        <v>1091</v>
      </c>
      <c r="B194" s="2">
        <v>29</v>
      </c>
      <c r="C194" s="2" t="s">
        <v>18</v>
      </c>
      <c r="D194" s="2" t="s">
        <v>33</v>
      </c>
      <c r="E194" s="2" t="s">
        <v>20</v>
      </c>
      <c r="F194" s="2" t="s">
        <v>40</v>
      </c>
      <c r="G194" s="2" t="s">
        <v>423</v>
      </c>
      <c r="H194" s="2">
        <v>0</v>
      </c>
      <c r="I194" s="2" t="s">
        <v>23</v>
      </c>
      <c r="J194" s="2">
        <v>3575</v>
      </c>
      <c r="K194" s="2">
        <v>7</v>
      </c>
      <c r="L194" s="2" t="s">
        <v>36</v>
      </c>
      <c r="M194" s="2">
        <v>2</v>
      </c>
      <c r="N194" s="2">
        <v>2</v>
      </c>
      <c r="O194" s="2">
        <v>3</v>
      </c>
      <c r="P194" s="2">
        <v>4</v>
      </c>
      <c r="Q194" s="2" t="s">
        <v>24</v>
      </c>
    </row>
    <row r="195" spans="1:17" x14ac:dyDescent="0.25">
      <c r="A195" s="2" t="s">
        <v>591</v>
      </c>
      <c r="B195" s="2">
        <v>30</v>
      </c>
      <c r="C195" s="2" t="s">
        <v>26</v>
      </c>
      <c r="D195" s="2" t="s">
        <v>33</v>
      </c>
      <c r="E195" s="2" t="s">
        <v>28</v>
      </c>
      <c r="F195" s="2" t="s">
        <v>59</v>
      </c>
      <c r="G195" s="2" t="s">
        <v>425</v>
      </c>
      <c r="H195" s="2">
        <v>0</v>
      </c>
      <c r="I195" s="2" t="s">
        <v>23</v>
      </c>
      <c r="J195" s="2">
        <v>5978</v>
      </c>
      <c r="K195" s="2">
        <v>27</v>
      </c>
      <c r="L195" s="2" t="s">
        <v>24</v>
      </c>
      <c r="M195" s="2">
        <v>4</v>
      </c>
      <c r="N195" s="2">
        <v>3</v>
      </c>
      <c r="O195" s="2">
        <v>3</v>
      </c>
      <c r="P195" s="2">
        <v>1</v>
      </c>
      <c r="Q195" s="2" t="s">
        <v>24</v>
      </c>
    </row>
    <row r="196" spans="1:17" x14ac:dyDescent="0.25">
      <c r="A196" s="2" t="s">
        <v>130</v>
      </c>
      <c r="B196" s="2">
        <v>37</v>
      </c>
      <c r="C196" s="2" t="s">
        <v>26</v>
      </c>
      <c r="D196" s="2" t="s">
        <v>19</v>
      </c>
      <c r="E196" s="2" t="s">
        <v>20</v>
      </c>
      <c r="F196" s="2" t="s">
        <v>21</v>
      </c>
      <c r="G196" s="2" t="s">
        <v>427</v>
      </c>
      <c r="H196" s="2">
        <v>9</v>
      </c>
      <c r="I196" s="2" t="s">
        <v>31</v>
      </c>
      <c r="J196" s="2">
        <v>11390</v>
      </c>
      <c r="K196" s="2">
        <v>1</v>
      </c>
      <c r="L196" s="2" t="s">
        <v>24</v>
      </c>
      <c r="M196" s="2">
        <v>4</v>
      </c>
      <c r="N196" s="2">
        <v>2</v>
      </c>
      <c r="O196" s="2">
        <v>3</v>
      </c>
      <c r="P196" s="2">
        <v>1</v>
      </c>
      <c r="Q196" s="2" t="s">
        <v>24</v>
      </c>
    </row>
    <row r="197" spans="1:17" x14ac:dyDescent="0.25">
      <c r="A197" s="2" t="s">
        <v>397</v>
      </c>
      <c r="B197" s="2">
        <v>33</v>
      </c>
      <c r="C197" s="2" t="s">
        <v>26</v>
      </c>
      <c r="D197" s="2" t="s">
        <v>19</v>
      </c>
      <c r="E197" s="2" t="s">
        <v>20</v>
      </c>
      <c r="F197" s="2" t="s">
        <v>44</v>
      </c>
      <c r="G197" s="2" t="s">
        <v>429</v>
      </c>
      <c r="H197" s="2">
        <v>0</v>
      </c>
      <c r="I197" s="2" t="s">
        <v>23</v>
      </c>
      <c r="J197" s="2">
        <v>6527</v>
      </c>
      <c r="K197" s="2">
        <v>1</v>
      </c>
      <c r="L197" s="2" t="s">
        <v>36</v>
      </c>
      <c r="M197" s="2">
        <v>1</v>
      </c>
      <c r="N197" s="2">
        <v>3</v>
      </c>
      <c r="O197" s="2">
        <v>3</v>
      </c>
      <c r="P197" s="2">
        <v>4</v>
      </c>
      <c r="Q197" s="2" t="s">
        <v>36</v>
      </c>
    </row>
    <row r="198" spans="1:17" x14ac:dyDescent="0.25">
      <c r="A198" s="2" t="s">
        <v>967</v>
      </c>
      <c r="B198" s="2">
        <v>29</v>
      </c>
      <c r="C198" s="2" t="s">
        <v>18</v>
      </c>
      <c r="D198" s="2" t="s">
        <v>19</v>
      </c>
      <c r="E198" s="2" t="s">
        <v>28</v>
      </c>
      <c r="F198" s="2" t="s">
        <v>34</v>
      </c>
      <c r="G198" s="2" t="s">
        <v>431</v>
      </c>
      <c r="H198" s="2">
        <v>0</v>
      </c>
      <c r="I198" s="2" t="s">
        <v>23</v>
      </c>
      <c r="J198" s="2">
        <v>4056</v>
      </c>
      <c r="K198" s="2">
        <v>3</v>
      </c>
      <c r="L198" s="2" t="s">
        <v>24</v>
      </c>
      <c r="M198" s="2">
        <v>3</v>
      </c>
      <c r="N198" s="2">
        <v>3</v>
      </c>
      <c r="O198" s="2">
        <v>4</v>
      </c>
      <c r="P198" s="2">
        <v>4</v>
      </c>
      <c r="Q198" s="2" t="s">
        <v>24</v>
      </c>
    </row>
    <row r="199" spans="1:17" x14ac:dyDescent="0.25">
      <c r="A199" s="2" t="s">
        <v>473</v>
      </c>
      <c r="B199" s="2">
        <v>37</v>
      </c>
      <c r="C199" s="2" t="s">
        <v>26</v>
      </c>
      <c r="D199" s="2" t="s">
        <v>27</v>
      </c>
      <c r="E199" s="2" t="s">
        <v>28</v>
      </c>
      <c r="F199" s="2" t="s">
        <v>34</v>
      </c>
      <c r="G199" s="2" t="s">
        <v>433</v>
      </c>
      <c r="H199" s="2">
        <v>1</v>
      </c>
      <c r="I199" s="2" t="s">
        <v>23</v>
      </c>
      <c r="J199" s="2">
        <v>1966</v>
      </c>
      <c r="K199" s="2">
        <v>1</v>
      </c>
      <c r="L199" s="2" t="s">
        <v>24</v>
      </c>
      <c r="M199" s="2">
        <v>3</v>
      </c>
      <c r="N199" s="2">
        <v>4</v>
      </c>
      <c r="O199" s="2">
        <v>3</v>
      </c>
      <c r="P199" s="2">
        <v>2</v>
      </c>
      <c r="Q199" s="2" t="s">
        <v>24</v>
      </c>
    </row>
    <row r="200" spans="1:17" x14ac:dyDescent="0.25">
      <c r="A200" s="2" t="s">
        <v>205</v>
      </c>
      <c r="B200" s="2">
        <v>41</v>
      </c>
      <c r="C200" s="2" t="s">
        <v>26</v>
      </c>
      <c r="D200" s="2" t="s">
        <v>33</v>
      </c>
      <c r="E200" s="2" t="s">
        <v>28</v>
      </c>
      <c r="F200" s="2" t="s">
        <v>59</v>
      </c>
      <c r="G200" s="2" t="s">
        <v>435</v>
      </c>
      <c r="H200" s="2">
        <v>0</v>
      </c>
      <c r="I200" s="2" t="s">
        <v>23</v>
      </c>
      <c r="J200" s="2">
        <v>6588</v>
      </c>
      <c r="K200" s="2">
        <v>11</v>
      </c>
      <c r="L200" s="2" t="s">
        <v>24</v>
      </c>
      <c r="M200" s="2">
        <v>4</v>
      </c>
      <c r="N200" s="2">
        <v>2</v>
      </c>
      <c r="O200" s="2">
        <v>3</v>
      </c>
      <c r="P200" s="2">
        <v>3</v>
      </c>
      <c r="Q200" s="2" t="s">
        <v>24</v>
      </c>
    </row>
    <row r="201" spans="1:17" x14ac:dyDescent="0.25">
      <c r="A201" s="2" t="s">
        <v>539</v>
      </c>
      <c r="B201" s="2">
        <v>43</v>
      </c>
      <c r="C201" s="2" t="s">
        <v>18</v>
      </c>
      <c r="D201" s="2" t="s">
        <v>27</v>
      </c>
      <c r="E201" s="2" t="s">
        <v>28</v>
      </c>
      <c r="F201" s="2" t="s">
        <v>59</v>
      </c>
      <c r="G201" s="2" t="s">
        <v>437</v>
      </c>
      <c r="H201" s="2">
        <v>3</v>
      </c>
      <c r="I201" s="2" t="s">
        <v>42</v>
      </c>
      <c r="J201" s="2">
        <v>4063</v>
      </c>
      <c r="K201" s="2">
        <v>4</v>
      </c>
      <c r="L201" s="2" t="s">
        <v>24</v>
      </c>
      <c r="M201" s="2">
        <v>3</v>
      </c>
      <c r="N201" s="2">
        <v>3</v>
      </c>
      <c r="O201" s="2">
        <v>3</v>
      </c>
      <c r="P201" s="2">
        <v>1</v>
      </c>
      <c r="Q201" s="2" t="s">
        <v>24</v>
      </c>
    </row>
    <row r="202" spans="1:17" x14ac:dyDescent="0.25">
      <c r="A202" s="2" t="s">
        <v>1006</v>
      </c>
      <c r="B202" s="2">
        <v>39</v>
      </c>
      <c r="C202" s="2" t="s">
        <v>26</v>
      </c>
      <c r="D202" s="2" t="s">
        <v>33</v>
      </c>
      <c r="E202" s="2" t="s">
        <v>20</v>
      </c>
      <c r="F202" s="2" t="s">
        <v>40</v>
      </c>
      <c r="G202" s="2" t="s">
        <v>439</v>
      </c>
      <c r="H202" s="2">
        <v>5</v>
      </c>
      <c r="I202" s="2" t="s">
        <v>42</v>
      </c>
      <c r="J202" s="2">
        <v>3530</v>
      </c>
      <c r="K202" s="2">
        <v>4</v>
      </c>
      <c r="L202" s="2" t="s">
        <v>36</v>
      </c>
      <c r="M202" s="2">
        <v>3</v>
      </c>
      <c r="N202" s="2">
        <v>2</v>
      </c>
      <c r="O202" s="2">
        <v>3</v>
      </c>
      <c r="P202" s="2">
        <v>2</v>
      </c>
      <c r="Q202" s="2" t="s">
        <v>24</v>
      </c>
    </row>
    <row r="203" spans="1:17" x14ac:dyDescent="0.25">
      <c r="A203" s="2" t="s">
        <v>152</v>
      </c>
      <c r="B203" s="2">
        <v>36</v>
      </c>
      <c r="C203" s="2" t="s">
        <v>18</v>
      </c>
      <c r="D203" s="2" t="s">
        <v>33</v>
      </c>
      <c r="E203" s="2" t="s">
        <v>110</v>
      </c>
      <c r="F203" s="2" t="s">
        <v>111</v>
      </c>
      <c r="G203" s="2" t="s">
        <v>441</v>
      </c>
      <c r="H203" s="2">
        <v>0</v>
      </c>
      <c r="I203" s="2" t="s">
        <v>23</v>
      </c>
      <c r="J203" s="2">
        <v>4984</v>
      </c>
      <c r="K203" s="2">
        <v>5</v>
      </c>
      <c r="L203" s="2" t="s">
        <v>24</v>
      </c>
      <c r="M203" s="2">
        <v>3</v>
      </c>
      <c r="N203" s="2">
        <v>4</v>
      </c>
      <c r="O203" s="2">
        <v>3</v>
      </c>
      <c r="P203" s="2">
        <v>5</v>
      </c>
      <c r="Q203" s="2" t="s">
        <v>36</v>
      </c>
    </row>
    <row r="204" spans="1:17" x14ac:dyDescent="0.25">
      <c r="A204" s="2" t="s">
        <v>259</v>
      </c>
      <c r="B204" s="2">
        <v>20</v>
      </c>
      <c r="C204" s="2" t="s">
        <v>18</v>
      </c>
      <c r="D204" s="2" t="s">
        <v>33</v>
      </c>
      <c r="E204" s="2" t="s">
        <v>28</v>
      </c>
      <c r="F204" s="2" t="s">
        <v>59</v>
      </c>
      <c r="G204" s="2" t="s">
        <v>443</v>
      </c>
      <c r="H204" s="2">
        <v>0</v>
      </c>
      <c r="I204" s="2" t="s">
        <v>23</v>
      </c>
      <c r="J204" s="2">
        <v>5783</v>
      </c>
      <c r="K204" s="2">
        <v>15</v>
      </c>
      <c r="L204" s="2" t="s">
        <v>24</v>
      </c>
      <c r="M204" s="2">
        <v>1</v>
      </c>
      <c r="N204" s="2">
        <v>1</v>
      </c>
      <c r="O204" s="2">
        <v>3</v>
      </c>
      <c r="P204" s="2">
        <v>1</v>
      </c>
      <c r="Q204" s="2" t="s">
        <v>24</v>
      </c>
    </row>
    <row r="205" spans="1:17" x14ac:dyDescent="0.25">
      <c r="A205" s="2" t="s">
        <v>420</v>
      </c>
      <c r="B205" s="2">
        <v>29</v>
      </c>
      <c r="C205" s="2" t="s">
        <v>18</v>
      </c>
      <c r="D205" s="2" t="s">
        <v>19</v>
      </c>
      <c r="E205" s="2" t="s">
        <v>28</v>
      </c>
      <c r="F205" s="2" t="s">
        <v>64</v>
      </c>
      <c r="G205" s="2" t="s">
        <v>445</v>
      </c>
      <c r="H205" s="2">
        <v>2</v>
      </c>
      <c r="I205" s="2" t="s">
        <v>23</v>
      </c>
      <c r="J205" s="2">
        <v>4409</v>
      </c>
      <c r="K205" s="2">
        <v>3</v>
      </c>
      <c r="L205" s="2" t="s">
        <v>24</v>
      </c>
      <c r="M205" s="2">
        <v>3</v>
      </c>
      <c r="N205" s="2">
        <v>3</v>
      </c>
      <c r="O205" s="2">
        <v>3</v>
      </c>
      <c r="P205" s="2">
        <v>4</v>
      </c>
      <c r="Q205" s="2" t="s">
        <v>24</v>
      </c>
    </row>
    <row r="206" spans="1:17" x14ac:dyDescent="0.25">
      <c r="A206" s="2" t="s">
        <v>717</v>
      </c>
      <c r="B206" s="2">
        <v>27</v>
      </c>
      <c r="C206" s="2" t="s">
        <v>26</v>
      </c>
      <c r="D206" s="2" t="s">
        <v>27</v>
      </c>
      <c r="E206" s="2" t="s">
        <v>28</v>
      </c>
      <c r="F206" s="2" t="s">
        <v>34</v>
      </c>
      <c r="G206" s="2" t="s">
        <v>447</v>
      </c>
      <c r="H206" s="2">
        <v>0</v>
      </c>
      <c r="I206" s="2" t="s">
        <v>23</v>
      </c>
      <c r="J206" s="2">
        <v>3203</v>
      </c>
      <c r="K206" s="2">
        <v>15</v>
      </c>
      <c r="L206" s="2" t="s">
        <v>24</v>
      </c>
      <c r="M206" s="2">
        <v>4</v>
      </c>
      <c r="N206" s="2">
        <v>4</v>
      </c>
      <c r="O206" s="2">
        <v>3</v>
      </c>
      <c r="P206" s="2">
        <v>2</v>
      </c>
      <c r="Q206" s="2" t="s">
        <v>24</v>
      </c>
    </row>
    <row r="207" spans="1:17" x14ac:dyDescent="0.25">
      <c r="A207" s="2" t="s">
        <v>1011</v>
      </c>
      <c r="B207" s="2">
        <v>36</v>
      </c>
      <c r="C207" s="2" t="s">
        <v>18</v>
      </c>
      <c r="D207" s="2" t="s">
        <v>19</v>
      </c>
      <c r="E207" s="2" t="s">
        <v>20</v>
      </c>
      <c r="F207" s="2" t="s">
        <v>44</v>
      </c>
      <c r="G207" s="2" t="s">
        <v>449</v>
      </c>
      <c r="H207" s="2">
        <v>0</v>
      </c>
      <c r="I207" s="2" t="s">
        <v>23</v>
      </c>
      <c r="J207" s="2">
        <v>6292</v>
      </c>
      <c r="K207" s="2">
        <v>1</v>
      </c>
      <c r="L207" s="2" t="s">
        <v>24</v>
      </c>
      <c r="M207" s="2">
        <v>2</v>
      </c>
      <c r="N207" s="2">
        <v>3</v>
      </c>
      <c r="O207" s="2">
        <v>3</v>
      </c>
      <c r="P207" s="2">
        <v>4</v>
      </c>
      <c r="Q207" s="2" t="s">
        <v>24</v>
      </c>
    </row>
    <row r="208" spans="1:17" x14ac:dyDescent="0.25">
      <c r="A208" s="2" t="s">
        <v>884</v>
      </c>
      <c r="B208" s="2">
        <v>46</v>
      </c>
      <c r="C208" s="2" t="s">
        <v>18</v>
      </c>
      <c r="D208" s="2" t="s">
        <v>19</v>
      </c>
      <c r="E208" s="2" t="s">
        <v>28</v>
      </c>
      <c r="F208" s="2" t="s">
        <v>34</v>
      </c>
      <c r="G208" s="2" t="s">
        <v>330</v>
      </c>
      <c r="H208" s="2">
        <v>1</v>
      </c>
      <c r="I208" s="2" t="s">
        <v>23</v>
      </c>
      <c r="J208" s="2">
        <v>3834</v>
      </c>
      <c r="K208" s="2">
        <v>1</v>
      </c>
      <c r="L208" s="2" t="s">
        <v>36</v>
      </c>
      <c r="M208" s="2">
        <v>4</v>
      </c>
      <c r="N208" s="2">
        <v>1</v>
      </c>
      <c r="O208" s="2">
        <v>3</v>
      </c>
      <c r="P208" s="2">
        <v>1</v>
      </c>
      <c r="Q208" s="2" t="s">
        <v>24</v>
      </c>
    </row>
    <row r="209" spans="1:17" x14ac:dyDescent="0.25">
      <c r="A209" s="2" t="s">
        <v>547</v>
      </c>
      <c r="B209" s="2">
        <v>44</v>
      </c>
      <c r="C209" s="2" t="s">
        <v>26</v>
      </c>
      <c r="D209" s="2" t="s">
        <v>19</v>
      </c>
      <c r="E209" s="2" t="s">
        <v>20</v>
      </c>
      <c r="F209" s="2" t="s">
        <v>44</v>
      </c>
      <c r="G209" s="2" t="s">
        <v>452</v>
      </c>
      <c r="H209" s="2">
        <v>3</v>
      </c>
      <c r="I209" s="2" t="s">
        <v>42</v>
      </c>
      <c r="J209" s="2">
        <v>5813</v>
      </c>
      <c r="K209" s="2">
        <v>15</v>
      </c>
      <c r="L209" s="2" t="s">
        <v>24</v>
      </c>
      <c r="M209" s="2">
        <v>2</v>
      </c>
      <c r="N209" s="2">
        <v>3</v>
      </c>
      <c r="O209" s="2">
        <v>3</v>
      </c>
      <c r="P209" s="2">
        <v>4</v>
      </c>
      <c r="Q209" s="2" t="s">
        <v>24</v>
      </c>
    </row>
    <row r="210" spans="1:17" x14ac:dyDescent="0.25">
      <c r="A210" s="2" t="s">
        <v>568</v>
      </c>
      <c r="B210" s="2">
        <v>30</v>
      </c>
      <c r="C210" s="2" t="s">
        <v>18</v>
      </c>
      <c r="D210" s="2" t="s">
        <v>33</v>
      </c>
      <c r="E210" s="2" t="s">
        <v>28</v>
      </c>
      <c r="F210" s="2" t="s">
        <v>34</v>
      </c>
      <c r="G210" s="2" t="s">
        <v>454</v>
      </c>
      <c r="H210" s="2">
        <v>1</v>
      </c>
      <c r="I210" s="2" t="s">
        <v>23</v>
      </c>
      <c r="J210" s="2">
        <v>3541</v>
      </c>
      <c r="K210" s="2">
        <v>1</v>
      </c>
      <c r="L210" s="2" t="s">
        <v>24</v>
      </c>
      <c r="M210" s="2">
        <v>3</v>
      </c>
      <c r="N210" s="2">
        <v>3</v>
      </c>
      <c r="O210" s="2">
        <v>3</v>
      </c>
      <c r="P210" s="2">
        <v>3</v>
      </c>
      <c r="Q210" s="2" t="s">
        <v>24</v>
      </c>
    </row>
    <row r="211" spans="1:17" x14ac:dyDescent="0.25">
      <c r="A211" s="2" t="s">
        <v>486</v>
      </c>
      <c r="B211" s="2">
        <v>25</v>
      </c>
      <c r="C211" s="2" t="s">
        <v>26</v>
      </c>
      <c r="D211" s="2" t="s">
        <v>27</v>
      </c>
      <c r="E211" s="2" t="s">
        <v>110</v>
      </c>
      <c r="F211" s="2" t="s">
        <v>189</v>
      </c>
      <c r="G211" s="2" t="s">
        <v>456</v>
      </c>
      <c r="H211" s="2">
        <v>1</v>
      </c>
      <c r="I211" s="2" t="s">
        <v>23</v>
      </c>
      <c r="J211" s="2">
        <v>5048</v>
      </c>
      <c r="K211" s="2">
        <v>4</v>
      </c>
      <c r="L211" s="2" t="s">
        <v>36</v>
      </c>
      <c r="M211" s="2">
        <v>4</v>
      </c>
      <c r="N211" s="2">
        <v>1</v>
      </c>
      <c r="O211" s="2">
        <v>3</v>
      </c>
      <c r="P211" s="2">
        <v>3</v>
      </c>
      <c r="Q211" s="2" t="s">
        <v>36</v>
      </c>
    </row>
    <row r="212" spans="1:17" x14ac:dyDescent="0.25">
      <c r="A212" s="2" t="s">
        <v>442</v>
      </c>
      <c r="B212" s="2">
        <v>31</v>
      </c>
      <c r="C212" s="2" t="s">
        <v>18</v>
      </c>
      <c r="D212" s="2" t="s">
        <v>33</v>
      </c>
      <c r="E212" s="2" t="s">
        <v>28</v>
      </c>
      <c r="F212" s="2" t="s">
        <v>34</v>
      </c>
      <c r="G212" s="2" t="s">
        <v>458</v>
      </c>
      <c r="H212" s="2">
        <v>1</v>
      </c>
      <c r="I212" s="2" t="s">
        <v>23</v>
      </c>
      <c r="J212" s="2">
        <v>2493</v>
      </c>
      <c r="K212" s="2">
        <v>8</v>
      </c>
      <c r="L212" s="2" t="s">
        <v>24</v>
      </c>
      <c r="M212" s="2">
        <v>3</v>
      </c>
      <c r="N212" s="2">
        <v>4</v>
      </c>
      <c r="O212" s="2">
        <v>4</v>
      </c>
      <c r="P212" s="2">
        <v>0</v>
      </c>
      <c r="Q212" s="2" t="s">
        <v>24</v>
      </c>
    </row>
    <row r="213" spans="1:17" x14ac:dyDescent="0.25">
      <c r="A213" s="2" t="s">
        <v>848</v>
      </c>
      <c r="B213" s="2">
        <v>38</v>
      </c>
      <c r="C213" s="2" t="s">
        <v>18</v>
      </c>
      <c r="D213" s="2" t="s">
        <v>27</v>
      </c>
      <c r="E213" s="2" t="s">
        <v>28</v>
      </c>
      <c r="F213" s="2" t="s">
        <v>59</v>
      </c>
      <c r="G213" s="2" t="s">
        <v>460</v>
      </c>
      <c r="H213" s="2">
        <v>3</v>
      </c>
      <c r="I213" s="2" t="s">
        <v>42</v>
      </c>
      <c r="J213" s="2">
        <v>7292</v>
      </c>
      <c r="K213" s="2">
        <v>12</v>
      </c>
      <c r="L213" s="2" t="s">
        <v>24</v>
      </c>
      <c r="M213" s="2">
        <v>2</v>
      </c>
      <c r="N213" s="2">
        <v>4</v>
      </c>
      <c r="O213" s="2">
        <v>3</v>
      </c>
      <c r="P213" s="2">
        <v>3</v>
      </c>
      <c r="Q213" s="2" t="s">
        <v>24</v>
      </c>
    </row>
    <row r="214" spans="1:17" x14ac:dyDescent="0.25">
      <c r="A214" s="2" t="s">
        <v>755</v>
      </c>
      <c r="B214" s="2">
        <v>27</v>
      </c>
      <c r="C214" s="2" t="s">
        <v>18</v>
      </c>
      <c r="D214" s="2" t="s">
        <v>33</v>
      </c>
      <c r="E214" s="2" t="s">
        <v>20</v>
      </c>
      <c r="F214" s="2" t="s">
        <v>40</v>
      </c>
      <c r="G214" s="2" t="s">
        <v>462</v>
      </c>
      <c r="H214" s="2">
        <v>4</v>
      </c>
      <c r="I214" s="2" t="s">
        <v>42</v>
      </c>
      <c r="J214" s="2">
        <v>3951</v>
      </c>
      <c r="K214" s="2">
        <v>11</v>
      </c>
      <c r="L214" s="2" t="s">
        <v>24</v>
      </c>
      <c r="M214" s="2">
        <v>1</v>
      </c>
      <c r="N214" s="2">
        <v>1</v>
      </c>
      <c r="O214" s="2">
        <v>3</v>
      </c>
      <c r="P214" s="2">
        <v>1</v>
      </c>
      <c r="Q214" s="2" t="s">
        <v>36</v>
      </c>
    </row>
    <row r="215" spans="1:17" x14ac:dyDescent="0.25">
      <c r="A215" s="2" t="s">
        <v>50</v>
      </c>
      <c r="B215" s="2">
        <v>41</v>
      </c>
      <c r="C215" s="2" t="s">
        <v>26</v>
      </c>
      <c r="D215" s="2" t="s">
        <v>19</v>
      </c>
      <c r="E215" s="2" t="s">
        <v>28</v>
      </c>
      <c r="F215" s="2" t="s">
        <v>29</v>
      </c>
      <c r="G215" s="2" t="s">
        <v>464</v>
      </c>
      <c r="H215" s="2">
        <v>6</v>
      </c>
      <c r="I215" s="2" t="s">
        <v>31</v>
      </c>
      <c r="J215" s="2">
        <v>13569</v>
      </c>
      <c r="K215" s="2">
        <v>5</v>
      </c>
      <c r="L215" s="2" t="s">
        <v>24</v>
      </c>
      <c r="M215" s="2">
        <v>2</v>
      </c>
      <c r="N215" s="2">
        <v>2</v>
      </c>
      <c r="O215" s="2">
        <v>3</v>
      </c>
      <c r="P215" s="2">
        <v>4</v>
      </c>
      <c r="Q215" s="2" t="s">
        <v>24</v>
      </c>
    </row>
    <row r="216" spans="1:17" x14ac:dyDescent="0.25">
      <c r="A216" s="2" t="s">
        <v>892</v>
      </c>
      <c r="B216" s="2">
        <v>29</v>
      </c>
      <c r="C216" s="2" t="s">
        <v>18</v>
      </c>
      <c r="D216" s="2" t="s">
        <v>33</v>
      </c>
      <c r="E216" s="2" t="s">
        <v>28</v>
      </c>
      <c r="F216" s="2" t="s">
        <v>64</v>
      </c>
      <c r="G216" s="2" t="s">
        <v>466</v>
      </c>
      <c r="H216" s="2">
        <v>0</v>
      </c>
      <c r="I216" s="2" t="s">
        <v>23</v>
      </c>
      <c r="J216" s="2">
        <v>4385</v>
      </c>
      <c r="K216" s="2">
        <v>4</v>
      </c>
      <c r="L216" s="2" t="s">
        <v>36</v>
      </c>
      <c r="M216" s="2">
        <v>3</v>
      </c>
      <c r="N216" s="2">
        <v>3</v>
      </c>
      <c r="O216" s="2">
        <v>3</v>
      </c>
      <c r="P216" s="2">
        <v>1</v>
      </c>
      <c r="Q216" s="2" t="s">
        <v>36</v>
      </c>
    </row>
    <row r="217" spans="1:17" x14ac:dyDescent="0.25">
      <c r="A217" s="2" t="s">
        <v>925</v>
      </c>
      <c r="B217" s="2">
        <v>39</v>
      </c>
      <c r="C217" s="2" t="s">
        <v>18</v>
      </c>
      <c r="D217" s="2" t="s">
        <v>19</v>
      </c>
      <c r="E217" s="2" t="s">
        <v>28</v>
      </c>
      <c r="F217" s="2" t="s">
        <v>34</v>
      </c>
      <c r="G217" s="2" t="s">
        <v>468</v>
      </c>
      <c r="H217" s="2">
        <v>4</v>
      </c>
      <c r="I217" s="2" t="s">
        <v>42</v>
      </c>
      <c r="J217" s="2">
        <v>3854</v>
      </c>
      <c r="K217" s="2">
        <v>9</v>
      </c>
      <c r="L217" s="2" t="s">
        <v>24</v>
      </c>
      <c r="M217" s="2">
        <v>3</v>
      </c>
      <c r="N217" s="2">
        <v>2</v>
      </c>
      <c r="O217" s="2">
        <v>3</v>
      </c>
      <c r="P217" s="2">
        <v>2</v>
      </c>
      <c r="Q217" s="2" t="s">
        <v>36</v>
      </c>
    </row>
    <row r="218" spans="1:17" x14ac:dyDescent="0.25">
      <c r="A218" s="2" t="s">
        <v>463</v>
      </c>
      <c r="B218" s="2">
        <v>38</v>
      </c>
      <c r="C218" s="2" t="s">
        <v>18</v>
      </c>
      <c r="D218" s="2" t="s">
        <v>33</v>
      </c>
      <c r="E218" s="2" t="s">
        <v>28</v>
      </c>
      <c r="F218" s="2" t="s">
        <v>29</v>
      </c>
      <c r="G218" s="2" t="s">
        <v>470</v>
      </c>
      <c r="H218" s="2">
        <v>7</v>
      </c>
      <c r="I218" s="2" t="s">
        <v>31</v>
      </c>
      <c r="J218" s="2">
        <v>13300</v>
      </c>
      <c r="K218" s="2">
        <v>4</v>
      </c>
      <c r="L218" s="2" t="s">
        <v>24</v>
      </c>
      <c r="M218" s="2">
        <v>2</v>
      </c>
      <c r="N218" s="2">
        <v>3</v>
      </c>
      <c r="O218" s="2">
        <v>3</v>
      </c>
      <c r="P218" s="2">
        <v>4</v>
      </c>
      <c r="Q218" s="2" t="s">
        <v>24</v>
      </c>
    </row>
    <row r="219" spans="1:17" x14ac:dyDescent="0.25">
      <c r="A219" s="2" t="s">
        <v>246</v>
      </c>
      <c r="B219" s="2">
        <v>33</v>
      </c>
      <c r="C219" s="2" t="s">
        <v>18</v>
      </c>
      <c r="D219" s="2" t="s">
        <v>33</v>
      </c>
      <c r="E219" s="2" t="s">
        <v>20</v>
      </c>
      <c r="F219" s="2" t="s">
        <v>44</v>
      </c>
      <c r="G219" s="2" t="s">
        <v>472</v>
      </c>
      <c r="H219" s="2">
        <v>7</v>
      </c>
      <c r="I219" s="2" t="s">
        <v>31</v>
      </c>
      <c r="J219" s="2">
        <v>8399</v>
      </c>
      <c r="K219" s="2">
        <v>12</v>
      </c>
      <c r="L219" s="2" t="s">
        <v>24</v>
      </c>
      <c r="M219" s="2">
        <v>4</v>
      </c>
      <c r="N219" s="2">
        <v>2</v>
      </c>
      <c r="O219" s="2">
        <v>3</v>
      </c>
      <c r="P219" s="2">
        <v>0</v>
      </c>
      <c r="Q219" s="2" t="s">
        <v>24</v>
      </c>
    </row>
    <row r="220" spans="1:17" x14ac:dyDescent="0.25">
      <c r="A220" s="2" t="s">
        <v>578</v>
      </c>
      <c r="B220" s="2">
        <v>43</v>
      </c>
      <c r="C220" s="2" t="s">
        <v>26</v>
      </c>
      <c r="D220" s="2" t="s">
        <v>33</v>
      </c>
      <c r="E220" s="2" t="s">
        <v>28</v>
      </c>
      <c r="F220" s="2" t="s">
        <v>59</v>
      </c>
      <c r="G220" s="2" t="s">
        <v>356</v>
      </c>
      <c r="H220" s="2">
        <v>2</v>
      </c>
      <c r="I220" s="2" t="s">
        <v>23</v>
      </c>
      <c r="J220" s="2">
        <v>5125</v>
      </c>
      <c r="K220" s="2">
        <v>11</v>
      </c>
      <c r="L220" s="2" t="s">
        <v>36</v>
      </c>
      <c r="M220" s="2">
        <v>3</v>
      </c>
      <c r="N220" s="2">
        <v>1</v>
      </c>
      <c r="O220" s="2">
        <v>3</v>
      </c>
      <c r="P220" s="2">
        <v>2</v>
      </c>
      <c r="Q220" s="2" t="s">
        <v>36</v>
      </c>
    </row>
    <row r="221" spans="1:17" x14ac:dyDescent="0.25">
      <c r="A221" s="2" t="s">
        <v>625</v>
      </c>
      <c r="B221" s="2">
        <v>35</v>
      </c>
      <c r="C221" s="2" t="s">
        <v>26</v>
      </c>
      <c r="D221" s="2" t="s">
        <v>33</v>
      </c>
      <c r="E221" s="2" t="s">
        <v>28</v>
      </c>
      <c r="F221" s="2" t="s">
        <v>29</v>
      </c>
      <c r="G221" s="2" t="s">
        <v>475</v>
      </c>
      <c r="H221" s="2">
        <v>2</v>
      </c>
      <c r="I221" s="2" t="s">
        <v>23</v>
      </c>
      <c r="J221" s="2">
        <v>13416</v>
      </c>
      <c r="K221" s="2">
        <v>7</v>
      </c>
      <c r="L221" s="2" t="s">
        <v>24</v>
      </c>
      <c r="M221" s="2">
        <v>3</v>
      </c>
      <c r="N221" s="2">
        <v>1</v>
      </c>
      <c r="O221" s="2">
        <v>3</v>
      </c>
      <c r="P221" s="2">
        <v>0</v>
      </c>
      <c r="Q221" s="2" t="s">
        <v>24</v>
      </c>
    </row>
    <row r="222" spans="1:17" x14ac:dyDescent="0.25">
      <c r="A222" s="2" t="s">
        <v>78</v>
      </c>
      <c r="B222" s="2">
        <v>29</v>
      </c>
      <c r="C222" s="2" t="s">
        <v>26</v>
      </c>
      <c r="D222" s="2" t="s">
        <v>33</v>
      </c>
      <c r="E222" s="2" t="s">
        <v>28</v>
      </c>
      <c r="F222" s="2" t="s">
        <v>34</v>
      </c>
      <c r="G222" s="2" t="s">
        <v>332</v>
      </c>
      <c r="H222" s="2">
        <v>1</v>
      </c>
      <c r="I222" s="2" t="s">
        <v>23</v>
      </c>
      <c r="J222" s="2">
        <v>3145</v>
      </c>
      <c r="K222" s="2">
        <v>8</v>
      </c>
      <c r="L222" s="2" t="s">
        <v>24</v>
      </c>
      <c r="M222" s="2">
        <v>4</v>
      </c>
      <c r="N222" s="2">
        <v>2</v>
      </c>
      <c r="O222" s="2">
        <v>3</v>
      </c>
      <c r="P222" s="2">
        <v>1</v>
      </c>
      <c r="Q222" s="2" t="s">
        <v>24</v>
      </c>
    </row>
    <row r="223" spans="1:17" x14ac:dyDescent="0.25">
      <c r="A223" s="2" t="s">
        <v>377</v>
      </c>
      <c r="B223" s="2">
        <v>28</v>
      </c>
      <c r="C223" s="2" t="s">
        <v>18</v>
      </c>
      <c r="D223" s="2" t="s">
        <v>27</v>
      </c>
      <c r="E223" s="2" t="s">
        <v>20</v>
      </c>
      <c r="F223" s="2" t="s">
        <v>44</v>
      </c>
      <c r="G223" s="2" t="s">
        <v>478</v>
      </c>
      <c r="H223" s="2">
        <v>0</v>
      </c>
      <c r="I223" s="2" t="s">
        <v>23</v>
      </c>
      <c r="J223" s="2">
        <v>6410</v>
      </c>
      <c r="K223" s="2">
        <v>13</v>
      </c>
      <c r="L223" s="2" t="s">
        <v>36</v>
      </c>
      <c r="M223" s="2">
        <v>3</v>
      </c>
      <c r="N223" s="2">
        <v>4</v>
      </c>
      <c r="O223" s="2">
        <v>3</v>
      </c>
      <c r="P223" s="2">
        <v>1</v>
      </c>
      <c r="Q223" s="2" t="s">
        <v>24</v>
      </c>
    </row>
    <row r="224" spans="1:17" x14ac:dyDescent="0.25">
      <c r="A224" s="2" t="s">
        <v>762</v>
      </c>
      <c r="B224" s="2">
        <v>20</v>
      </c>
      <c r="C224" s="2" t="s">
        <v>26</v>
      </c>
      <c r="D224" s="2" t="s">
        <v>33</v>
      </c>
      <c r="E224" s="2" t="s">
        <v>20</v>
      </c>
      <c r="F224" s="2" t="s">
        <v>44</v>
      </c>
      <c r="G224" s="2" t="s">
        <v>185</v>
      </c>
      <c r="H224" s="2">
        <v>2</v>
      </c>
      <c r="I224" s="2" t="s">
        <v>23</v>
      </c>
      <c r="J224" s="2">
        <v>6374</v>
      </c>
      <c r="K224" s="2">
        <v>5</v>
      </c>
      <c r="L224" s="2" t="s">
        <v>24</v>
      </c>
      <c r="M224" s="2">
        <v>4</v>
      </c>
      <c r="N224" s="2">
        <v>1</v>
      </c>
      <c r="O224" s="2">
        <v>3</v>
      </c>
      <c r="P224" s="2">
        <v>5</v>
      </c>
      <c r="Q224" s="2" t="s">
        <v>36</v>
      </c>
    </row>
    <row r="225" spans="1:17" x14ac:dyDescent="0.25">
      <c r="A225" s="2" t="s">
        <v>182</v>
      </c>
      <c r="B225" s="2">
        <v>51</v>
      </c>
      <c r="C225" s="2" t="s">
        <v>26</v>
      </c>
      <c r="D225" s="2" t="s">
        <v>27</v>
      </c>
      <c r="E225" s="2" t="s">
        <v>110</v>
      </c>
      <c r="F225" s="2" t="s">
        <v>128</v>
      </c>
      <c r="G225" s="2" t="s">
        <v>264</v>
      </c>
      <c r="H225" s="2">
        <v>0</v>
      </c>
      <c r="I225" s="2" t="s">
        <v>23</v>
      </c>
      <c r="J225" s="2">
        <v>12087</v>
      </c>
      <c r="K225" s="2">
        <v>2</v>
      </c>
      <c r="L225" s="2" t="s">
        <v>24</v>
      </c>
      <c r="M225" s="2">
        <v>2</v>
      </c>
      <c r="N225" s="2">
        <v>3</v>
      </c>
      <c r="O225" s="2">
        <v>3</v>
      </c>
      <c r="P225" s="2">
        <v>1</v>
      </c>
      <c r="Q225" s="2" t="s">
        <v>24</v>
      </c>
    </row>
    <row r="226" spans="1:17" x14ac:dyDescent="0.25">
      <c r="A226" s="2" t="s">
        <v>82</v>
      </c>
      <c r="B226" s="2">
        <v>33</v>
      </c>
      <c r="C226" s="2" t="s">
        <v>26</v>
      </c>
      <c r="D226" s="2" t="s">
        <v>19</v>
      </c>
      <c r="E226" s="2" t="s">
        <v>28</v>
      </c>
      <c r="F226" s="2" t="s">
        <v>34</v>
      </c>
      <c r="G226" s="2" t="s">
        <v>482</v>
      </c>
      <c r="H226" s="2">
        <v>4</v>
      </c>
      <c r="I226" s="2" t="s">
        <v>42</v>
      </c>
      <c r="J226" s="2">
        <v>3179</v>
      </c>
      <c r="K226" s="2">
        <v>2</v>
      </c>
      <c r="L226" s="2" t="s">
        <v>36</v>
      </c>
      <c r="M226" s="2">
        <v>4</v>
      </c>
      <c r="N226" s="2">
        <v>3</v>
      </c>
      <c r="O226" s="2">
        <v>4</v>
      </c>
      <c r="P226" s="2">
        <v>5</v>
      </c>
      <c r="Q226" s="2" t="s">
        <v>36</v>
      </c>
    </row>
    <row r="227" spans="1:17" x14ac:dyDescent="0.25">
      <c r="A227" s="2" t="s">
        <v>170</v>
      </c>
      <c r="B227" s="2">
        <v>44</v>
      </c>
      <c r="C227" s="2" t="s">
        <v>26</v>
      </c>
      <c r="D227" s="2" t="s">
        <v>19</v>
      </c>
      <c r="E227" s="2" t="s">
        <v>28</v>
      </c>
      <c r="F227" s="2" t="s">
        <v>34</v>
      </c>
      <c r="G227" s="2" t="s">
        <v>230</v>
      </c>
      <c r="H227" s="2">
        <v>2</v>
      </c>
      <c r="I227" s="2" t="s">
        <v>23</v>
      </c>
      <c r="J227" s="2">
        <v>4111</v>
      </c>
      <c r="K227" s="2">
        <v>2</v>
      </c>
      <c r="L227" s="2" t="s">
        <v>24</v>
      </c>
      <c r="M227" s="2">
        <v>4</v>
      </c>
      <c r="N227" s="2">
        <v>4</v>
      </c>
      <c r="O227" s="2">
        <v>3</v>
      </c>
      <c r="P227" s="2">
        <v>5</v>
      </c>
      <c r="Q227" s="2" t="s">
        <v>24</v>
      </c>
    </row>
    <row r="228" spans="1:17" x14ac:dyDescent="0.25">
      <c r="A228" s="2" t="s">
        <v>46</v>
      </c>
      <c r="B228" s="2">
        <v>36</v>
      </c>
      <c r="C228" s="2" t="s">
        <v>18</v>
      </c>
      <c r="D228" s="2" t="s">
        <v>33</v>
      </c>
      <c r="E228" s="2" t="s">
        <v>28</v>
      </c>
      <c r="F228" s="2" t="s">
        <v>64</v>
      </c>
      <c r="G228" s="2" t="s">
        <v>485</v>
      </c>
      <c r="H228" s="2">
        <v>7</v>
      </c>
      <c r="I228" s="2" t="s">
        <v>31</v>
      </c>
      <c r="J228" s="2">
        <v>4410</v>
      </c>
      <c r="K228" s="2">
        <v>2</v>
      </c>
      <c r="L228" s="2" t="s">
        <v>24</v>
      </c>
      <c r="M228" s="2">
        <v>3</v>
      </c>
      <c r="N228" s="2">
        <v>2</v>
      </c>
      <c r="O228" s="2">
        <v>3</v>
      </c>
      <c r="P228" s="2">
        <v>5</v>
      </c>
      <c r="Q228" s="2" t="s">
        <v>24</v>
      </c>
    </row>
    <row r="229" spans="1:17" x14ac:dyDescent="0.25">
      <c r="A229" s="2" t="s">
        <v>629</v>
      </c>
      <c r="B229" s="2">
        <v>23</v>
      </c>
      <c r="C229" s="2" t="s">
        <v>26</v>
      </c>
      <c r="D229" s="2" t="s">
        <v>33</v>
      </c>
      <c r="E229" s="2" t="s">
        <v>28</v>
      </c>
      <c r="F229" s="2" t="s">
        <v>29</v>
      </c>
      <c r="G229" s="2" t="s">
        <v>487</v>
      </c>
      <c r="H229" s="2">
        <v>4</v>
      </c>
      <c r="I229" s="2" t="s">
        <v>42</v>
      </c>
      <c r="J229" s="2">
        <v>14370</v>
      </c>
      <c r="K229" s="2">
        <v>2</v>
      </c>
      <c r="L229" s="2" t="s">
        <v>24</v>
      </c>
      <c r="M229" s="2">
        <v>3</v>
      </c>
      <c r="N229" s="2">
        <v>3</v>
      </c>
      <c r="O229" s="2">
        <v>3</v>
      </c>
      <c r="P229" s="2">
        <v>0</v>
      </c>
      <c r="Q229" s="2" t="s">
        <v>24</v>
      </c>
    </row>
    <row r="230" spans="1:17" x14ac:dyDescent="0.25">
      <c r="A230" s="2" t="s">
        <v>868</v>
      </c>
      <c r="B230" s="2">
        <v>36</v>
      </c>
      <c r="C230" s="2" t="s">
        <v>18</v>
      </c>
      <c r="D230" s="2" t="s">
        <v>27</v>
      </c>
      <c r="E230" s="2" t="s">
        <v>20</v>
      </c>
      <c r="F230" s="2" t="s">
        <v>21</v>
      </c>
      <c r="G230" s="2" t="s">
        <v>489</v>
      </c>
      <c r="H230" s="2">
        <v>4</v>
      </c>
      <c r="I230" s="2" t="s">
        <v>42</v>
      </c>
      <c r="J230" s="2">
        <v>14164</v>
      </c>
      <c r="K230" s="2">
        <v>1</v>
      </c>
      <c r="L230" s="2" t="s">
        <v>24</v>
      </c>
      <c r="M230" s="2">
        <v>2</v>
      </c>
      <c r="N230" s="2">
        <v>2</v>
      </c>
      <c r="O230" s="2">
        <v>3</v>
      </c>
      <c r="P230" s="2">
        <v>4</v>
      </c>
      <c r="Q230" s="2" t="s">
        <v>24</v>
      </c>
    </row>
    <row r="231" spans="1:17" x14ac:dyDescent="0.25">
      <c r="A231" s="2" t="s">
        <v>66</v>
      </c>
      <c r="B231" s="2">
        <v>26</v>
      </c>
      <c r="C231" s="2" t="s">
        <v>18</v>
      </c>
      <c r="D231" s="2" t="s">
        <v>19</v>
      </c>
      <c r="E231" s="2" t="s">
        <v>20</v>
      </c>
      <c r="F231" s="2" t="s">
        <v>21</v>
      </c>
      <c r="G231" s="2" t="s">
        <v>491</v>
      </c>
      <c r="H231" s="2">
        <v>12</v>
      </c>
      <c r="I231" s="2" t="s">
        <v>92</v>
      </c>
      <c r="J231" s="2">
        <v>13845</v>
      </c>
      <c r="K231" s="2">
        <v>13</v>
      </c>
      <c r="L231" s="2" t="s">
        <v>36</v>
      </c>
      <c r="M231" s="2">
        <v>2</v>
      </c>
      <c r="N231" s="2">
        <v>4</v>
      </c>
      <c r="O231" s="2">
        <v>3</v>
      </c>
      <c r="P231" s="2">
        <v>3</v>
      </c>
      <c r="Q231" s="2" t="s">
        <v>36</v>
      </c>
    </row>
    <row r="232" spans="1:17" x14ac:dyDescent="0.25">
      <c r="A232" s="2" t="s">
        <v>1063</v>
      </c>
      <c r="B232" s="2">
        <v>46</v>
      </c>
      <c r="C232" s="2" t="s">
        <v>18</v>
      </c>
      <c r="D232" s="2" t="s">
        <v>33</v>
      </c>
      <c r="E232" s="2" t="s">
        <v>28</v>
      </c>
      <c r="F232" s="2" t="s">
        <v>64</v>
      </c>
      <c r="G232" s="2" t="s">
        <v>493</v>
      </c>
      <c r="H232" s="2">
        <v>1</v>
      </c>
      <c r="I232" s="2" t="s">
        <v>23</v>
      </c>
      <c r="J232" s="2">
        <v>6276</v>
      </c>
      <c r="K232" s="2">
        <v>1</v>
      </c>
      <c r="L232" s="2" t="s">
        <v>24</v>
      </c>
      <c r="M232" s="2">
        <v>3</v>
      </c>
      <c r="N232" s="2">
        <v>4</v>
      </c>
      <c r="O232" s="2">
        <v>3</v>
      </c>
      <c r="P232" s="2">
        <v>5</v>
      </c>
      <c r="Q232" s="2" t="s">
        <v>24</v>
      </c>
    </row>
    <row r="233" spans="1:17" x14ac:dyDescent="0.25">
      <c r="A233" s="2" t="s">
        <v>678</v>
      </c>
      <c r="B233" s="2">
        <v>27</v>
      </c>
      <c r="C233" s="2" t="s">
        <v>18</v>
      </c>
      <c r="D233" s="2" t="s">
        <v>33</v>
      </c>
      <c r="E233" s="2" t="s">
        <v>28</v>
      </c>
      <c r="F233" s="2" t="s">
        <v>29</v>
      </c>
      <c r="G233" s="2" t="s">
        <v>495</v>
      </c>
      <c r="H233" s="2">
        <v>3</v>
      </c>
      <c r="I233" s="2" t="s">
        <v>42</v>
      </c>
      <c r="J233" s="2">
        <v>14789</v>
      </c>
      <c r="K233" s="2">
        <v>4</v>
      </c>
      <c r="L233" s="2" t="s">
        <v>24</v>
      </c>
      <c r="M233" s="2">
        <v>3</v>
      </c>
      <c r="N233" s="2">
        <v>2</v>
      </c>
      <c r="O233" s="2">
        <v>3</v>
      </c>
      <c r="P233" s="2">
        <v>2</v>
      </c>
      <c r="Q233" s="2" t="s">
        <v>24</v>
      </c>
    </row>
    <row r="234" spans="1:17" x14ac:dyDescent="0.25">
      <c r="A234" s="2" t="s">
        <v>301</v>
      </c>
      <c r="B234" s="2">
        <v>41</v>
      </c>
      <c r="C234" s="2" t="s">
        <v>18</v>
      </c>
      <c r="D234" s="2" t="s">
        <v>19</v>
      </c>
      <c r="E234" s="2" t="s">
        <v>20</v>
      </c>
      <c r="F234" s="2" t="s">
        <v>21</v>
      </c>
      <c r="G234" s="2" t="s">
        <v>497</v>
      </c>
      <c r="H234" s="2">
        <v>1</v>
      </c>
      <c r="I234" s="2" t="s">
        <v>23</v>
      </c>
      <c r="J234" s="2">
        <v>12288</v>
      </c>
      <c r="K234" s="2">
        <v>2</v>
      </c>
      <c r="L234" s="2" t="s">
        <v>36</v>
      </c>
      <c r="M234" s="2">
        <v>3</v>
      </c>
      <c r="N234" s="2">
        <v>2</v>
      </c>
      <c r="O234" s="2">
        <v>3</v>
      </c>
      <c r="P234" s="2">
        <v>3</v>
      </c>
      <c r="Q234" s="2" t="s">
        <v>24</v>
      </c>
    </row>
    <row r="235" spans="1:17" x14ac:dyDescent="0.25">
      <c r="A235" s="2" t="s">
        <v>767</v>
      </c>
      <c r="B235" s="2">
        <v>27</v>
      </c>
      <c r="C235" s="2" t="s">
        <v>18</v>
      </c>
      <c r="D235" s="2" t="s">
        <v>19</v>
      </c>
      <c r="E235" s="2" t="s">
        <v>28</v>
      </c>
      <c r="F235" s="2" t="s">
        <v>34</v>
      </c>
      <c r="G235" s="2" t="s">
        <v>499</v>
      </c>
      <c r="H235" s="2">
        <v>0</v>
      </c>
      <c r="I235" s="2" t="s">
        <v>23</v>
      </c>
      <c r="J235" s="2">
        <v>3013</v>
      </c>
      <c r="K235" s="2">
        <v>3</v>
      </c>
      <c r="L235" s="2" t="s">
        <v>24</v>
      </c>
      <c r="M235" s="2">
        <v>4</v>
      </c>
      <c r="N235" s="2">
        <v>2</v>
      </c>
      <c r="O235" s="2">
        <v>3</v>
      </c>
      <c r="P235" s="2">
        <v>5</v>
      </c>
      <c r="Q235" s="2" t="s">
        <v>24</v>
      </c>
    </row>
    <row r="236" spans="1:17" x14ac:dyDescent="0.25">
      <c r="A236" s="2" t="s">
        <v>782</v>
      </c>
      <c r="B236" s="2">
        <v>44</v>
      </c>
      <c r="C236" s="2" t="s">
        <v>26</v>
      </c>
      <c r="D236" s="2" t="s">
        <v>33</v>
      </c>
      <c r="E236" s="2" t="s">
        <v>28</v>
      </c>
      <c r="F236" s="2" t="s">
        <v>64</v>
      </c>
      <c r="G236" s="2" t="s">
        <v>501</v>
      </c>
      <c r="H236" s="2">
        <v>4</v>
      </c>
      <c r="I236" s="2" t="s">
        <v>42</v>
      </c>
      <c r="J236" s="2">
        <v>5168</v>
      </c>
      <c r="K236" s="2">
        <v>9</v>
      </c>
      <c r="L236" s="2" t="s">
        <v>24</v>
      </c>
      <c r="M236" s="2">
        <v>2</v>
      </c>
      <c r="N236" s="2">
        <v>3</v>
      </c>
      <c r="O236" s="2">
        <v>3</v>
      </c>
      <c r="P236" s="2">
        <v>5</v>
      </c>
      <c r="Q236" s="2" t="s">
        <v>24</v>
      </c>
    </row>
    <row r="237" spans="1:17" x14ac:dyDescent="0.25">
      <c r="A237" s="2" t="s">
        <v>125</v>
      </c>
      <c r="B237" s="2">
        <v>31</v>
      </c>
      <c r="C237" s="2" t="s">
        <v>26</v>
      </c>
      <c r="D237" s="2" t="s">
        <v>27</v>
      </c>
      <c r="E237" s="2" t="s">
        <v>28</v>
      </c>
      <c r="F237" s="2" t="s">
        <v>34</v>
      </c>
      <c r="G237" s="2" t="s">
        <v>255</v>
      </c>
      <c r="H237" s="2">
        <v>2</v>
      </c>
      <c r="I237" s="2" t="s">
        <v>23</v>
      </c>
      <c r="J237" s="2">
        <v>3730</v>
      </c>
      <c r="K237" s="2">
        <v>15</v>
      </c>
      <c r="L237" s="2" t="s">
        <v>24</v>
      </c>
      <c r="M237" s="2">
        <v>3</v>
      </c>
      <c r="N237" s="2">
        <v>4</v>
      </c>
      <c r="O237" s="2">
        <v>3</v>
      </c>
      <c r="P237" s="2">
        <v>4</v>
      </c>
      <c r="Q237" s="2" t="s">
        <v>24</v>
      </c>
    </row>
    <row r="238" spans="1:17" x14ac:dyDescent="0.25">
      <c r="A238" s="2" t="s">
        <v>1032</v>
      </c>
      <c r="B238" s="2">
        <v>33</v>
      </c>
      <c r="C238" s="2" t="s">
        <v>18</v>
      </c>
      <c r="D238" s="2" t="s">
        <v>33</v>
      </c>
      <c r="E238" s="2" t="s">
        <v>20</v>
      </c>
      <c r="F238" s="2" t="s">
        <v>44</v>
      </c>
      <c r="G238" s="2" t="s">
        <v>504</v>
      </c>
      <c r="H238" s="2">
        <v>1</v>
      </c>
      <c r="I238" s="2" t="s">
        <v>23</v>
      </c>
      <c r="J238" s="2">
        <v>4658</v>
      </c>
      <c r="K238" s="2">
        <v>15</v>
      </c>
      <c r="L238" s="2" t="s">
        <v>24</v>
      </c>
      <c r="M238" s="2">
        <v>3</v>
      </c>
      <c r="N238" s="2">
        <v>3</v>
      </c>
      <c r="O238" s="2">
        <v>3</v>
      </c>
      <c r="P238" s="2">
        <v>1</v>
      </c>
      <c r="Q238" s="2" t="s">
        <v>36</v>
      </c>
    </row>
    <row r="239" spans="1:17" x14ac:dyDescent="0.25">
      <c r="A239" s="2" t="s">
        <v>467</v>
      </c>
      <c r="B239" s="2">
        <v>47</v>
      </c>
      <c r="C239" s="2" t="s">
        <v>18</v>
      </c>
      <c r="D239" s="2" t="s">
        <v>27</v>
      </c>
      <c r="E239" s="2" t="s">
        <v>28</v>
      </c>
      <c r="F239" s="2" t="s">
        <v>59</v>
      </c>
      <c r="G239" s="2" t="s">
        <v>506</v>
      </c>
      <c r="H239" s="2">
        <v>1</v>
      </c>
      <c r="I239" s="2" t="s">
        <v>23</v>
      </c>
      <c r="J239" s="2">
        <v>5730</v>
      </c>
      <c r="K239" s="2">
        <v>3</v>
      </c>
      <c r="L239" s="2" t="s">
        <v>24</v>
      </c>
      <c r="M239" s="2">
        <v>1</v>
      </c>
      <c r="N239" s="2">
        <v>3</v>
      </c>
      <c r="O239" s="2">
        <v>3</v>
      </c>
      <c r="P239" s="2">
        <v>5</v>
      </c>
      <c r="Q239" s="2" t="s">
        <v>24</v>
      </c>
    </row>
    <row r="240" spans="1:17" x14ac:dyDescent="0.25">
      <c r="A240" s="2" t="s">
        <v>295</v>
      </c>
      <c r="B240" s="2">
        <v>27</v>
      </c>
      <c r="C240" s="2" t="s">
        <v>18</v>
      </c>
      <c r="D240" s="2" t="s">
        <v>27</v>
      </c>
      <c r="E240" s="2" t="s">
        <v>110</v>
      </c>
      <c r="F240" s="2" t="s">
        <v>111</v>
      </c>
      <c r="G240" s="2" t="s">
        <v>508</v>
      </c>
      <c r="H240" s="2">
        <v>1</v>
      </c>
      <c r="I240" s="2" t="s">
        <v>23</v>
      </c>
      <c r="J240" s="2">
        <v>4410</v>
      </c>
      <c r="K240" s="2">
        <v>4</v>
      </c>
      <c r="L240" s="2" t="s">
        <v>24</v>
      </c>
      <c r="M240" s="2">
        <v>1</v>
      </c>
      <c r="N240" s="2">
        <v>4</v>
      </c>
      <c r="O240" s="2">
        <v>3</v>
      </c>
      <c r="P240" s="2">
        <v>2</v>
      </c>
      <c r="Q240" s="2" t="s">
        <v>36</v>
      </c>
    </row>
    <row r="241" spans="1:17" x14ac:dyDescent="0.25">
      <c r="A241" s="2" t="s">
        <v>973</v>
      </c>
      <c r="B241" s="2">
        <v>47</v>
      </c>
      <c r="C241" s="2" t="s">
        <v>26</v>
      </c>
      <c r="D241" s="2" t="s">
        <v>27</v>
      </c>
      <c r="E241" s="2" t="s">
        <v>28</v>
      </c>
      <c r="F241" s="2" t="s">
        <v>34</v>
      </c>
      <c r="G241" s="2" t="s">
        <v>510</v>
      </c>
      <c r="H241" s="2">
        <v>5</v>
      </c>
      <c r="I241" s="2" t="s">
        <v>42</v>
      </c>
      <c r="J241" s="2">
        <v>3169</v>
      </c>
      <c r="K241" s="2">
        <v>3</v>
      </c>
      <c r="L241" s="2" t="s">
        <v>24</v>
      </c>
      <c r="M241" s="2">
        <v>4</v>
      </c>
      <c r="N241" s="2">
        <v>3</v>
      </c>
      <c r="O241" s="2">
        <v>3</v>
      </c>
      <c r="P241" s="2">
        <v>4</v>
      </c>
      <c r="Q241" s="2" t="s">
        <v>24</v>
      </c>
    </row>
    <row r="242" spans="1:17" x14ac:dyDescent="0.25">
      <c r="A242" s="2" t="s">
        <v>291</v>
      </c>
      <c r="B242" s="2">
        <v>38</v>
      </c>
      <c r="C242" s="2" t="s">
        <v>18</v>
      </c>
      <c r="D242" s="2" t="s">
        <v>19</v>
      </c>
      <c r="E242" s="2" t="s">
        <v>28</v>
      </c>
      <c r="F242" s="2" t="s">
        <v>59</v>
      </c>
      <c r="G242" s="2" t="s">
        <v>512</v>
      </c>
      <c r="H242" s="2">
        <v>0</v>
      </c>
      <c r="I242" s="2" t="s">
        <v>23</v>
      </c>
      <c r="J242" s="2">
        <v>5601</v>
      </c>
      <c r="K242" s="2">
        <v>9</v>
      </c>
      <c r="L242" s="2" t="s">
        <v>24</v>
      </c>
      <c r="M242" s="2">
        <v>2</v>
      </c>
      <c r="N242" s="2">
        <v>3</v>
      </c>
      <c r="O242" s="2">
        <v>3</v>
      </c>
      <c r="P242" s="2">
        <v>5</v>
      </c>
      <c r="Q242" s="2" t="s">
        <v>24</v>
      </c>
    </row>
    <row r="243" spans="1:17" x14ac:dyDescent="0.25">
      <c r="A243" s="2" t="s">
        <v>888</v>
      </c>
      <c r="B243" s="2">
        <v>24</v>
      </c>
      <c r="C243" s="2" t="s">
        <v>26</v>
      </c>
      <c r="D243" s="2" t="s">
        <v>33</v>
      </c>
      <c r="E243" s="2" t="s">
        <v>28</v>
      </c>
      <c r="F243" s="2" t="s">
        <v>29</v>
      </c>
      <c r="G243" s="2" t="s">
        <v>514</v>
      </c>
      <c r="H243" s="2">
        <v>1</v>
      </c>
      <c r="I243" s="2" t="s">
        <v>23</v>
      </c>
      <c r="J243" s="2">
        <v>10679</v>
      </c>
      <c r="K243" s="2">
        <v>9</v>
      </c>
      <c r="L243" s="2" t="s">
        <v>24</v>
      </c>
      <c r="M243" s="2">
        <v>2</v>
      </c>
      <c r="N243" s="2">
        <v>4</v>
      </c>
      <c r="O243" s="2">
        <v>3</v>
      </c>
      <c r="P243" s="2">
        <v>3</v>
      </c>
      <c r="Q243" s="2" t="s">
        <v>24</v>
      </c>
    </row>
    <row r="244" spans="1:17" x14ac:dyDescent="0.25">
      <c r="A244" s="2" t="s">
        <v>574</v>
      </c>
      <c r="B244" s="2">
        <v>37</v>
      </c>
      <c r="C244" s="2" t="s">
        <v>18</v>
      </c>
      <c r="D244" s="2" t="s">
        <v>19</v>
      </c>
      <c r="E244" s="2" t="s">
        <v>28</v>
      </c>
      <c r="F244" s="2" t="s">
        <v>29</v>
      </c>
      <c r="G244" s="2" t="s">
        <v>516</v>
      </c>
      <c r="H244" s="2">
        <v>2</v>
      </c>
      <c r="I244" s="2" t="s">
        <v>23</v>
      </c>
      <c r="J244" s="2">
        <v>11225</v>
      </c>
      <c r="K244" s="2">
        <v>1</v>
      </c>
      <c r="L244" s="2" t="s">
        <v>36</v>
      </c>
      <c r="M244" s="2">
        <v>4</v>
      </c>
      <c r="N244" s="2">
        <v>3</v>
      </c>
      <c r="O244" s="2">
        <v>3</v>
      </c>
      <c r="P244" s="2">
        <v>0</v>
      </c>
      <c r="Q244" s="2" t="s">
        <v>24</v>
      </c>
    </row>
    <row r="245" spans="1:17" x14ac:dyDescent="0.25">
      <c r="A245" s="2" t="s">
        <v>564</v>
      </c>
      <c r="B245" s="2">
        <v>20</v>
      </c>
      <c r="C245" s="2" t="s">
        <v>26</v>
      </c>
      <c r="D245" s="2" t="s">
        <v>19</v>
      </c>
      <c r="E245" s="2" t="s">
        <v>20</v>
      </c>
      <c r="F245" s="2" t="s">
        <v>21</v>
      </c>
      <c r="G245" s="2" t="s">
        <v>441</v>
      </c>
      <c r="H245" s="2">
        <v>0</v>
      </c>
      <c r="I245" s="2" t="s">
        <v>23</v>
      </c>
      <c r="J245" s="2">
        <v>14032</v>
      </c>
      <c r="K245" s="2">
        <v>3</v>
      </c>
      <c r="L245" s="2" t="s">
        <v>24</v>
      </c>
      <c r="M245" s="2">
        <v>3</v>
      </c>
      <c r="N245" s="2">
        <v>3</v>
      </c>
      <c r="O245" s="2">
        <v>3</v>
      </c>
      <c r="P245" s="2">
        <v>1</v>
      </c>
      <c r="Q245" s="2" t="s">
        <v>24</v>
      </c>
    </row>
    <row r="246" spans="1:17" x14ac:dyDescent="0.25">
      <c r="A246" s="2" t="s">
        <v>801</v>
      </c>
      <c r="B246" s="2">
        <v>34</v>
      </c>
      <c r="C246" s="2" t="s">
        <v>18</v>
      </c>
      <c r="D246" s="2" t="s">
        <v>19</v>
      </c>
      <c r="E246" s="2" t="s">
        <v>28</v>
      </c>
      <c r="F246" s="2" t="s">
        <v>29</v>
      </c>
      <c r="G246" s="2" t="s">
        <v>519</v>
      </c>
      <c r="H246" s="2">
        <v>2</v>
      </c>
      <c r="I246" s="2" t="s">
        <v>23</v>
      </c>
      <c r="J246" s="2">
        <v>13728</v>
      </c>
      <c r="K246" s="2">
        <v>3</v>
      </c>
      <c r="L246" s="2" t="s">
        <v>24</v>
      </c>
      <c r="M246" s="2">
        <v>3</v>
      </c>
      <c r="N246" s="2">
        <v>3</v>
      </c>
      <c r="O246" s="2">
        <v>3</v>
      </c>
      <c r="P246" s="2">
        <v>2</v>
      </c>
      <c r="Q246" s="2" t="s">
        <v>24</v>
      </c>
    </row>
    <row r="247" spans="1:17" x14ac:dyDescent="0.25">
      <c r="A247" s="2" t="s">
        <v>585</v>
      </c>
      <c r="B247" s="2">
        <v>48</v>
      </c>
      <c r="C247" s="2" t="s">
        <v>18</v>
      </c>
      <c r="D247" s="2" t="s">
        <v>33</v>
      </c>
      <c r="E247" s="2" t="s">
        <v>28</v>
      </c>
      <c r="F247" s="2" t="s">
        <v>34</v>
      </c>
      <c r="G247" s="2" t="s">
        <v>521</v>
      </c>
      <c r="H247" s="2">
        <v>5</v>
      </c>
      <c r="I247" s="2" t="s">
        <v>42</v>
      </c>
      <c r="J247" s="2">
        <v>3492</v>
      </c>
      <c r="K247" s="2">
        <v>8</v>
      </c>
      <c r="L247" s="2" t="s">
        <v>24</v>
      </c>
      <c r="M247" s="2">
        <v>2</v>
      </c>
      <c r="N247" s="2">
        <v>3</v>
      </c>
      <c r="O247" s="2">
        <v>3</v>
      </c>
      <c r="P247" s="2">
        <v>4</v>
      </c>
      <c r="Q247" s="2" t="s">
        <v>24</v>
      </c>
    </row>
    <row r="248" spans="1:17" x14ac:dyDescent="0.25">
      <c r="A248" s="2" t="s">
        <v>654</v>
      </c>
      <c r="B248" s="2">
        <v>35</v>
      </c>
      <c r="C248" s="2" t="s">
        <v>26</v>
      </c>
      <c r="D248" s="2" t="s">
        <v>33</v>
      </c>
      <c r="E248" s="2" t="s">
        <v>28</v>
      </c>
      <c r="F248" s="2" t="s">
        <v>29</v>
      </c>
      <c r="G248" s="2" t="s">
        <v>523</v>
      </c>
      <c r="H248" s="2">
        <v>6</v>
      </c>
      <c r="I248" s="2" t="s">
        <v>31</v>
      </c>
      <c r="J248" s="2">
        <v>13857</v>
      </c>
      <c r="K248" s="2">
        <v>5</v>
      </c>
      <c r="L248" s="2" t="s">
        <v>36</v>
      </c>
      <c r="M248" s="2">
        <v>2</v>
      </c>
      <c r="N248" s="2">
        <v>3</v>
      </c>
      <c r="O248" s="2">
        <v>3</v>
      </c>
      <c r="P248" s="2">
        <v>5</v>
      </c>
      <c r="Q248" s="2" t="s">
        <v>36</v>
      </c>
    </row>
    <row r="249" spans="1:17" x14ac:dyDescent="0.25">
      <c r="A249" s="2" t="s">
        <v>351</v>
      </c>
      <c r="B249" s="2">
        <v>26</v>
      </c>
      <c r="C249" s="2" t="s">
        <v>18</v>
      </c>
      <c r="D249" s="2" t="s">
        <v>19</v>
      </c>
      <c r="E249" s="2" t="s">
        <v>28</v>
      </c>
      <c r="F249" s="2" t="s">
        <v>34</v>
      </c>
      <c r="G249" s="2" t="s">
        <v>525</v>
      </c>
      <c r="H249" s="2">
        <v>0</v>
      </c>
      <c r="I249" s="2" t="s">
        <v>23</v>
      </c>
      <c r="J249" s="2">
        <v>3229</v>
      </c>
      <c r="K249" s="2">
        <v>6</v>
      </c>
      <c r="L249" s="2" t="s">
        <v>24</v>
      </c>
      <c r="M249" s="2">
        <v>4</v>
      </c>
      <c r="N249" s="2">
        <v>1</v>
      </c>
      <c r="O249" s="2">
        <v>3</v>
      </c>
      <c r="P249" s="2">
        <v>3</v>
      </c>
      <c r="Q249" s="2" t="s">
        <v>24</v>
      </c>
    </row>
    <row r="250" spans="1:17" x14ac:dyDescent="0.25">
      <c r="A250" s="2" t="s">
        <v>103</v>
      </c>
      <c r="B250" s="2">
        <v>33</v>
      </c>
      <c r="C250" s="2" t="s">
        <v>18</v>
      </c>
      <c r="D250" s="2" t="s">
        <v>33</v>
      </c>
      <c r="E250" s="2" t="s">
        <v>28</v>
      </c>
      <c r="F250" s="2" t="s">
        <v>64</v>
      </c>
      <c r="G250" s="2" t="s">
        <v>478</v>
      </c>
      <c r="H250" s="2">
        <v>0</v>
      </c>
      <c r="I250" s="2" t="s">
        <v>23</v>
      </c>
      <c r="J250" s="2">
        <v>5976</v>
      </c>
      <c r="K250" s="2">
        <v>1</v>
      </c>
      <c r="L250" s="2" t="s">
        <v>24</v>
      </c>
      <c r="M250" s="2">
        <v>2</v>
      </c>
      <c r="N250" s="2">
        <v>3</v>
      </c>
      <c r="O250" s="2">
        <v>3</v>
      </c>
      <c r="P250" s="2">
        <v>1</v>
      </c>
      <c r="Q250" s="2" t="s">
        <v>36</v>
      </c>
    </row>
    <row r="251" spans="1:17" x14ac:dyDescent="0.25">
      <c r="A251" s="2" t="s">
        <v>267</v>
      </c>
      <c r="B251" s="2">
        <v>29</v>
      </c>
      <c r="C251" s="2" t="s">
        <v>18</v>
      </c>
      <c r="D251" s="2" t="s">
        <v>19</v>
      </c>
      <c r="E251" s="2" t="s">
        <v>28</v>
      </c>
      <c r="F251" s="2" t="s">
        <v>29</v>
      </c>
      <c r="G251" s="2" t="s">
        <v>528</v>
      </c>
      <c r="H251" s="2">
        <v>3</v>
      </c>
      <c r="I251" s="2" t="s">
        <v>42</v>
      </c>
      <c r="J251" s="2">
        <v>10852</v>
      </c>
      <c r="K251" s="2">
        <v>1</v>
      </c>
      <c r="L251" s="2" t="s">
        <v>24</v>
      </c>
      <c r="M251" s="2">
        <v>4</v>
      </c>
      <c r="N251" s="2">
        <v>3</v>
      </c>
      <c r="O251" s="2">
        <v>3</v>
      </c>
      <c r="P251" s="2">
        <v>2</v>
      </c>
      <c r="Q251" s="2" t="s">
        <v>24</v>
      </c>
    </row>
    <row r="252" spans="1:17" x14ac:dyDescent="0.25">
      <c r="A252" s="2" t="s">
        <v>483</v>
      </c>
      <c r="B252" s="2">
        <v>29</v>
      </c>
      <c r="C252" s="2" t="s">
        <v>18</v>
      </c>
      <c r="D252" s="2" t="s">
        <v>33</v>
      </c>
      <c r="E252" s="2" t="s">
        <v>28</v>
      </c>
      <c r="F252" s="2" t="s">
        <v>59</v>
      </c>
      <c r="G252" s="2" t="s">
        <v>530</v>
      </c>
      <c r="H252" s="2">
        <v>4</v>
      </c>
      <c r="I252" s="2" t="s">
        <v>42</v>
      </c>
      <c r="J252" s="2">
        <v>6696</v>
      </c>
      <c r="K252" s="2">
        <v>1</v>
      </c>
      <c r="L252" s="2" t="s">
        <v>24</v>
      </c>
      <c r="M252" s="2">
        <v>4</v>
      </c>
      <c r="N252" s="2">
        <v>2</v>
      </c>
      <c r="O252" s="2">
        <v>3</v>
      </c>
      <c r="P252" s="2">
        <v>1</v>
      </c>
      <c r="Q252" s="2" t="s">
        <v>24</v>
      </c>
    </row>
    <row r="253" spans="1:17" x14ac:dyDescent="0.25">
      <c r="A253" s="2" t="s">
        <v>645</v>
      </c>
      <c r="B253" s="2">
        <v>26</v>
      </c>
      <c r="C253" s="2" t="s">
        <v>18</v>
      </c>
      <c r="D253" s="2" t="s">
        <v>27</v>
      </c>
      <c r="E253" s="2" t="s">
        <v>20</v>
      </c>
      <c r="F253" s="2" t="s">
        <v>40</v>
      </c>
      <c r="G253" s="2" t="s">
        <v>532</v>
      </c>
      <c r="H253" s="2">
        <v>1</v>
      </c>
      <c r="I253" s="2" t="s">
        <v>23</v>
      </c>
      <c r="J253" s="2">
        <v>3606</v>
      </c>
      <c r="K253" s="2">
        <v>1</v>
      </c>
      <c r="L253" s="2" t="s">
        <v>24</v>
      </c>
      <c r="M253" s="2">
        <v>4</v>
      </c>
      <c r="N253" s="2">
        <v>3</v>
      </c>
      <c r="O253" s="2">
        <v>3</v>
      </c>
      <c r="P253" s="2">
        <v>1</v>
      </c>
      <c r="Q253" s="2" t="s">
        <v>24</v>
      </c>
    </row>
    <row r="254" spans="1:17" x14ac:dyDescent="0.25">
      <c r="A254" s="2" t="s">
        <v>570</v>
      </c>
      <c r="B254" s="2">
        <v>25</v>
      </c>
      <c r="C254" s="2" t="s">
        <v>26</v>
      </c>
      <c r="D254" s="2" t="s">
        <v>33</v>
      </c>
      <c r="E254" s="2" t="s">
        <v>28</v>
      </c>
      <c r="F254" s="2" t="s">
        <v>59</v>
      </c>
      <c r="G254" s="2" t="s">
        <v>534</v>
      </c>
      <c r="H254" s="2">
        <v>2</v>
      </c>
      <c r="I254" s="2" t="s">
        <v>23</v>
      </c>
      <c r="J254" s="2">
        <v>5353</v>
      </c>
      <c r="K254" s="2">
        <v>6</v>
      </c>
      <c r="L254" s="2" t="s">
        <v>24</v>
      </c>
      <c r="M254" s="2">
        <v>4</v>
      </c>
      <c r="N254" s="2">
        <v>4</v>
      </c>
      <c r="O254" s="2">
        <v>3</v>
      </c>
      <c r="P254" s="2">
        <v>2</v>
      </c>
      <c r="Q254" s="2" t="s">
        <v>24</v>
      </c>
    </row>
    <row r="255" spans="1:17" x14ac:dyDescent="0.25">
      <c r="A255" s="2" t="s">
        <v>979</v>
      </c>
      <c r="B255" s="2">
        <v>39</v>
      </c>
      <c r="C255" s="2" t="s">
        <v>26</v>
      </c>
      <c r="D255" s="2" t="s">
        <v>27</v>
      </c>
      <c r="E255" s="2" t="s">
        <v>28</v>
      </c>
      <c r="F255" s="2" t="s">
        <v>59</v>
      </c>
      <c r="G255" s="2" t="s">
        <v>536</v>
      </c>
      <c r="H255" s="2">
        <v>0</v>
      </c>
      <c r="I255" s="2" t="s">
        <v>23</v>
      </c>
      <c r="J255" s="2">
        <v>5959</v>
      </c>
      <c r="K255" s="2">
        <v>10</v>
      </c>
      <c r="L255" s="2" t="s">
        <v>36</v>
      </c>
      <c r="M255" s="2">
        <v>3</v>
      </c>
      <c r="N255" s="2">
        <v>3</v>
      </c>
      <c r="O255" s="2">
        <v>3</v>
      </c>
      <c r="P255" s="2">
        <v>3</v>
      </c>
      <c r="Q255" s="2" t="s">
        <v>24</v>
      </c>
    </row>
    <row r="256" spans="1:17" x14ac:dyDescent="0.25">
      <c r="A256" s="2" t="s">
        <v>219</v>
      </c>
      <c r="B256" s="2">
        <v>45</v>
      </c>
      <c r="C256" s="2" t="s">
        <v>26</v>
      </c>
      <c r="D256" s="2" t="s">
        <v>27</v>
      </c>
      <c r="E256" s="2" t="s">
        <v>28</v>
      </c>
      <c r="F256" s="2" t="s">
        <v>59</v>
      </c>
      <c r="G256" s="2" t="s">
        <v>538</v>
      </c>
      <c r="H256" s="2">
        <v>0</v>
      </c>
      <c r="I256" s="2" t="s">
        <v>23</v>
      </c>
      <c r="J256" s="2">
        <v>5601</v>
      </c>
      <c r="K256" s="2">
        <v>12</v>
      </c>
      <c r="L256" s="2" t="s">
        <v>24</v>
      </c>
      <c r="M256" s="2">
        <v>2</v>
      </c>
      <c r="N256" s="2">
        <v>3</v>
      </c>
      <c r="O256" s="2">
        <v>3</v>
      </c>
      <c r="P256" s="2">
        <v>5</v>
      </c>
      <c r="Q256" s="2" t="s">
        <v>24</v>
      </c>
    </row>
    <row r="257" spans="1:17" x14ac:dyDescent="0.25">
      <c r="A257" s="2" t="s">
        <v>86</v>
      </c>
      <c r="B257" s="2">
        <v>29</v>
      </c>
      <c r="C257" s="2" t="s">
        <v>18</v>
      </c>
      <c r="D257" s="2" t="s">
        <v>33</v>
      </c>
      <c r="E257" s="2" t="s">
        <v>28</v>
      </c>
      <c r="F257" s="2" t="s">
        <v>64</v>
      </c>
      <c r="G257" s="2" t="s">
        <v>540</v>
      </c>
      <c r="H257" s="2">
        <v>4</v>
      </c>
      <c r="I257" s="2" t="s">
        <v>42</v>
      </c>
      <c r="J257" s="2">
        <v>4772</v>
      </c>
      <c r="K257" s="2">
        <v>1</v>
      </c>
      <c r="L257" s="2" t="s">
        <v>36</v>
      </c>
      <c r="M257" s="2">
        <v>3</v>
      </c>
      <c r="N257" s="2">
        <v>2</v>
      </c>
      <c r="O257" s="2">
        <v>3</v>
      </c>
      <c r="P257" s="2">
        <v>3</v>
      </c>
      <c r="Q257" s="2" t="s">
        <v>36</v>
      </c>
    </row>
    <row r="258" spans="1:17" x14ac:dyDescent="0.25">
      <c r="A258" s="2" t="s">
        <v>1024</v>
      </c>
      <c r="B258" s="2">
        <v>40</v>
      </c>
      <c r="C258" s="2" t="s">
        <v>18</v>
      </c>
      <c r="D258" s="2" t="s">
        <v>19</v>
      </c>
      <c r="E258" s="2" t="s">
        <v>110</v>
      </c>
      <c r="F258" s="2" t="s">
        <v>189</v>
      </c>
      <c r="G258" s="2" t="s">
        <v>542</v>
      </c>
      <c r="H258" s="2">
        <v>5</v>
      </c>
      <c r="I258" s="2" t="s">
        <v>42</v>
      </c>
      <c r="J258" s="2">
        <v>4516</v>
      </c>
      <c r="K258" s="2">
        <v>2</v>
      </c>
      <c r="L258" s="2" t="s">
        <v>24</v>
      </c>
      <c r="M258" s="2">
        <v>4</v>
      </c>
      <c r="N258" s="2">
        <v>3</v>
      </c>
      <c r="O258" s="2">
        <v>3</v>
      </c>
      <c r="P258" s="2">
        <v>4</v>
      </c>
      <c r="Q258" s="2" t="s">
        <v>24</v>
      </c>
    </row>
    <row r="259" spans="1:17" x14ac:dyDescent="0.25">
      <c r="A259" s="2" t="s">
        <v>426</v>
      </c>
      <c r="B259" s="2">
        <v>33</v>
      </c>
      <c r="C259" s="2" t="s">
        <v>18</v>
      </c>
      <c r="D259" s="2" t="s">
        <v>33</v>
      </c>
      <c r="E259" s="2" t="s">
        <v>28</v>
      </c>
      <c r="F259" s="2" t="s">
        <v>59</v>
      </c>
      <c r="G259" s="2" t="s">
        <v>544</v>
      </c>
      <c r="H259" s="2">
        <v>6</v>
      </c>
      <c r="I259" s="2" t="s">
        <v>31</v>
      </c>
      <c r="J259" s="2">
        <v>7262</v>
      </c>
      <c r="K259" s="2">
        <v>3</v>
      </c>
      <c r="L259" s="2" t="s">
        <v>24</v>
      </c>
      <c r="M259" s="2">
        <v>4</v>
      </c>
      <c r="N259" s="2">
        <v>2</v>
      </c>
      <c r="O259" s="2">
        <v>3</v>
      </c>
      <c r="P259" s="2">
        <v>0</v>
      </c>
      <c r="Q259" s="2" t="s">
        <v>24</v>
      </c>
    </row>
    <row r="260" spans="1:17" x14ac:dyDescent="0.25">
      <c r="A260" s="2" t="s">
        <v>517</v>
      </c>
      <c r="B260" s="2">
        <v>28</v>
      </c>
      <c r="C260" s="2" t="s">
        <v>18</v>
      </c>
      <c r="D260" s="2" t="s">
        <v>27</v>
      </c>
      <c r="E260" s="2" t="s">
        <v>20</v>
      </c>
      <c r="F260" s="2" t="s">
        <v>44</v>
      </c>
      <c r="G260" s="2" t="s">
        <v>546</v>
      </c>
      <c r="H260" s="2">
        <v>6</v>
      </c>
      <c r="I260" s="2" t="s">
        <v>31</v>
      </c>
      <c r="J260" s="2">
        <v>6402</v>
      </c>
      <c r="K260" s="2">
        <v>3</v>
      </c>
      <c r="L260" s="2" t="s">
        <v>24</v>
      </c>
      <c r="M260" s="2">
        <v>4</v>
      </c>
      <c r="N260" s="2">
        <v>1</v>
      </c>
      <c r="O260" s="2">
        <v>3</v>
      </c>
      <c r="P260" s="2">
        <v>3</v>
      </c>
      <c r="Q260" s="2" t="s">
        <v>24</v>
      </c>
    </row>
    <row r="261" spans="1:17" x14ac:dyDescent="0.25">
      <c r="A261" s="2" t="s">
        <v>943</v>
      </c>
      <c r="B261" s="2">
        <v>43</v>
      </c>
      <c r="C261" s="2" t="s">
        <v>26</v>
      </c>
      <c r="D261" s="2" t="s">
        <v>19</v>
      </c>
      <c r="E261" s="2" t="s">
        <v>110</v>
      </c>
      <c r="F261" s="2" t="s">
        <v>111</v>
      </c>
      <c r="G261" s="2" t="s">
        <v>548</v>
      </c>
      <c r="H261" s="2">
        <v>1</v>
      </c>
      <c r="I261" s="2" t="s">
        <v>23</v>
      </c>
      <c r="J261" s="2">
        <v>4688</v>
      </c>
      <c r="K261" s="2">
        <v>2</v>
      </c>
      <c r="L261" s="2" t="s">
        <v>36</v>
      </c>
      <c r="M261" s="2">
        <v>3</v>
      </c>
      <c r="N261" s="2">
        <v>2</v>
      </c>
      <c r="O261" s="2">
        <v>3</v>
      </c>
      <c r="P261" s="2">
        <v>1</v>
      </c>
      <c r="Q261" s="2" t="s">
        <v>24</v>
      </c>
    </row>
    <row r="262" spans="1:17" x14ac:dyDescent="0.25">
      <c r="A262" s="2" t="s">
        <v>25</v>
      </c>
      <c r="B262" s="2">
        <v>43</v>
      </c>
      <c r="C262" s="2" t="s">
        <v>26</v>
      </c>
      <c r="D262" s="2" t="s">
        <v>19</v>
      </c>
      <c r="E262" s="2" t="s">
        <v>20</v>
      </c>
      <c r="F262" s="2" t="s">
        <v>44</v>
      </c>
      <c r="G262" s="2" t="s">
        <v>504</v>
      </c>
      <c r="H262" s="2">
        <v>1</v>
      </c>
      <c r="I262" s="2" t="s">
        <v>23</v>
      </c>
      <c r="J262" s="2">
        <v>6686</v>
      </c>
      <c r="K262" s="2">
        <v>3</v>
      </c>
      <c r="L262" s="2" t="s">
        <v>24</v>
      </c>
      <c r="M262" s="2">
        <v>3</v>
      </c>
      <c r="N262" s="2">
        <v>3</v>
      </c>
      <c r="O262" s="2">
        <v>3</v>
      </c>
      <c r="P262" s="2">
        <v>1</v>
      </c>
      <c r="Q262" s="2" t="s">
        <v>24</v>
      </c>
    </row>
    <row r="263" spans="1:17" x14ac:dyDescent="0.25">
      <c r="A263" s="2" t="s">
        <v>136</v>
      </c>
      <c r="B263" s="2">
        <v>23</v>
      </c>
      <c r="C263" s="2" t="s">
        <v>18</v>
      </c>
      <c r="D263" s="2" t="s">
        <v>19</v>
      </c>
      <c r="E263" s="2" t="s">
        <v>28</v>
      </c>
      <c r="F263" s="2" t="s">
        <v>29</v>
      </c>
      <c r="G263" s="2" t="s">
        <v>551</v>
      </c>
      <c r="H263" s="2">
        <v>8</v>
      </c>
      <c r="I263" s="2" t="s">
        <v>31</v>
      </c>
      <c r="J263" s="2">
        <v>10154</v>
      </c>
      <c r="K263" s="2">
        <v>1</v>
      </c>
      <c r="L263" s="2" t="s">
        <v>36</v>
      </c>
      <c r="M263" s="2">
        <v>3</v>
      </c>
      <c r="N263" s="2">
        <v>4</v>
      </c>
      <c r="O263" s="2">
        <v>3</v>
      </c>
      <c r="P263" s="2">
        <v>2</v>
      </c>
      <c r="Q263" s="2" t="s">
        <v>24</v>
      </c>
    </row>
    <row r="264" spans="1:17" x14ac:dyDescent="0.25">
      <c r="A264" s="2" t="s">
        <v>227</v>
      </c>
      <c r="B264" s="2">
        <v>39</v>
      </c>
      <c r="C264" s="2" t="s">
        <v>26</v>
      </c>
      <c r="D264" s="2" t="s">
        <v>19</v>
      </c>
      <c r="E264" s="2" t="s">
        <v>28</v>
      </c>
      <c r="F264" s="2" t="s">
        <v>29</v>
      </c>
      <c r="G264" s="2" t="s">
        <v>553</v>
      </c>
      <c r="H264" s="2">
        <v>0</v>
      </c>
      <c r="I264" s="2" t="s">
        <v>23</v>
      </c>
      <c r="J264" s="2">
        <v>14795</v>
      </c>
      <c r="K264" s="2">
        <v>18</v>
      </c>
      <c r="L264" s="2" t="s">
        <v>24</v>
      </c>
      <c r="M264" s="2">
        <v>4</v>
      </c>
      <c r="N264" s="2">
        <v>2</v>
      </c>
      <c r="O264" s="2">
        <v>3</v>
      </c>
      <c r="P264" s="2">
        <v>4</v>
      </c>
      <c r="Q264" s="2" t="s">
        <v>24</v>
      </c>
    </row>
    <row r="265" spans="1:17" x14ac:dyDescent="0.25">
      <c r="A265" s="2" t="s">
        <v>994</v>
      </c>
      <c r="B265" s="2">
        <v>32</v>
      </c>
      <c r="C265" s="2" t="s">
        <v>26</v>
      </c>
      <c r="D265" s="2" t="s">
        <v>27</v>
      </c>
      <c r="E265" s="2" t="s">
        <v>28</v>
      </c>
      <c r="F265" s="2" t="s">
        <v>34</v>
      </c>
      <c r="G265" s="2" t="s">
        <v>555</v>
      </c>
      <c r="H265" s="2">
        <v>4</v>
      </c>
      <c r="I265" s="2" t="s">
        <v>42</v>
      </c>
      <c r="J265" s="2">
        <v>3418</v>
      </c>
      <c r="K265" s="2">
        <v>12</v>
      </c>
      <c r="L265" s="2" t="s">
        <v>24</v>
      </c>
      <c r="M265" s="2">
        <v>4</v>
      </c>
      <c r="N265" s="2">
        <v>2</v>
      </c>
      <c r="O265" s="2">
        <v>3</v>
      </c>
      <c r="P265" s="2">
        <v>2</v>
      </c>
      <c r="Q265" s="2" t="s">
        <v>24</v>
      </c>
    </row>
    <row r="266" spans="1:17" x14ac:dyDescent="0.25">
      <c r="A266" s="2" t="s">
        <v>793</v>
      </c>
      <c r="B266" s="2">
        <v>21</v>
      </c>
      <c r="C266" s="2" t="s">
        <v>18</v>
      </c>
      <c r="D266" s="2" t="s">
        <v>33</v>
      </c>
      <c r="E266" s="2" t="s">
        <v>20</v>
      </c>
      <c r="F266" s="2" t="s">
        <v>21</v>
      </c>
      <c r="G266" s="2" t="s">
        <v>557</v>
      </c>
      <c r="H266" s="2">
        <v>1</v>
      </c>
      <c r="I266" s="2" t="s">
        <v>23</v>
      </c>
      <c r="J266" s="2">
        <v>8819</v>
      </c>
      <c r="K266" s="2">
        <v>7</v>
      </c>
      <c r="L266" s="2" t="s">
        <v>24</v>
      </c>
      <c r="M266" s="2">
        <v>3</v>
      </c>
      <c r="N266" s="2">
        <v>1</v>
      </c>
      <c r="O266" s="2">
        <v>3</v>
      </c>
      <c r="P266" s="2">
        <v>5</v>
      </c>
      <c r="Q266" s="2" t="s">
        <v>36</v>
      </c>
    </row>
    <row r="267" spans="1:17" x14ac:dyDescent="0.25">
      <c r="A267" s="2" t="s">
        <v>829</v>
      </c>
      <c r="B267" s="2">
        <v>34</v>
      </c>
      <c r="C267" s="2" t="s">
        <v>26</v>
      </c>
      <c r="D267" s="2" t="s">
        <v>33</v>
      </c>
      <c r="E267" s="2" t="s">
        <v>20</v>
      </c>
      <c r="F267" s="2" t="s">
        <v>40</v>
      </c>
      <c r="G267" s="2" t="s">
        <v>559</v>
      </c>
      <c r="H267" s="2">
        <v>6</v>
      </c>
      <c r="I267" s="2" t="s">
        <v>31</v>
      </c>
      <c r="J267" s="2">
        <v>3725</v>
      </c>
      <c r="K267" s="2">
        <v>23</v>
      </c>
      <c r="L267" s="2" t="s">
        <v>24</v>
      </c>
      <c r="M267" s="2">
        <v>2</v>
      </c>
      <c r="N267" s="2">
        <v>3</v>
      </c>
      <c r="O267" s="2">
        <v>3</v>
      </c>
      <c r="P267" s="2">
        <v>2</v>
      </c>
      <c r="Q267" s="2" t="s">
        <v>24</v>
      </c>
    </row>
    <row r="268" spans="1:17" x14ac:dyDescent="0.25">
      <c r="A268" s="2" t="s">
        <v>313</v>
      </c>
      <c r="B268" s="2">
        <v>39</v>
      </c>
      <c r="C268" s="2" t="s">
        <v>26</v>
      </c>
      <c r="D268" s="2" t="s">
        <v>19</v>
      </c>
      <c r="E268" s="2" t="s">
        <v>28</v>
      </c>
      <c r="F268" s="2" t="s">
        <v>59</v>
      </c>
      <c r="G268" s="2" t="s">
        <v>561</v>
      </c>
      <c r="H268" s="2">
        <v>0</v>
      </c>
      <c r="I268" s="2" t="s">
        <v>23</v>
      </c>
      <c r="J268" s="2">
        <v>7033</v>
      </c>
      <c r="K268" s="2">
        <v>6</v>
      </c>
      <c r="L268" s="2" t="s">
        <v>24</v>
      </c>
      <c r="M268" s="2">
        <v>4</v>
      </c>
      <c r="N268" s="2">
        <v>4</v>
      </c>
      <c r="O268" s="2">
        <v>3</v>
      </c>
      <c r="P268" s="2">
        <v>0</v>
      </c>
      <c r="Q268" s="2" t="s">
        <v>24</v>
      </c>
    </row>
    <row r="269" spans="1:17" x14ac:dyDescent="0.25">
      <c r="A269" s="2" t="s">
        <v>1048</v>
      </c>
      <c r="B269" s="2">
        <v>35</v>
      </c>
      <c r="C269" s="2" t="s">
        <v>18</v>
      </c>
      <c r="D269" s="2" t="s">
        <v>33</v>
      </c>
      <c r="E269" s="2" t="s">
        <v>20</v>
      </c>
      <c r="F269" s="2" t="s">
        <v>21</v>
      </c>
      <c r="G269" s="2" t="s">
        <v>563</v>
      </c>
      <c r="H269" s="2">
        <v>6</v>
      </c>
      <c r="I269" s="2" t="s">
        <v>31</v>
      </c>
      <c r="J269" s="2">
        <v>11538</v>
      </c>
      <c r="K269" s="2">
        <v>9</v>
      </c>
      <c r="L269" s="2" t="s">
        <v>24</v>
      </c>
      <c r="M269" s="2">
        <v>3</v>
      </c>
      <c r="N269" s="2">
        <v>3</v>
      </c>
      <c r="O269" s="2">
        <v>3</v>
      </c>
      <c r="P269" s="2">
        <v>4</v>
      </c>
      <c r="Q269" s="2" t="s">
        <v>24</v>
      </c>
    </row>
    <row r="270" spans="1:17" x14ac:dyDescent="0.25">
      <c r="A270" s="2" t="s">
        <v>371</v>
      </c>
      <c r="B270" s="2">
        <v>28</v>
      </c>
      <c r="C270" s="2" t="s">
        <v>26</v>
      </c>
      <c r="D270" s="2" t="s">
        <v>19</v>
      </c>
      <c r="E270" s="2" t="s">
        <v>28</v>
      </c>
      <c r="F270" s="2" t="s">
        <v>34</v>
      </c>
      <c r="G270" s="2" t="s">
        <v>565</v>
      </c>
      <c r="H270" s="2">
        <v>0</v>
      </c>
      <c r="I270" s="2" t="s">
        <v>23</v>
      </c>
      <c r="J270" s="2">
        <v>2818</v>
      </c>
      <c r="K270" s="2">
        <v>15</v>
      </c>
      <c r="L270" s="2" t="s">
        <v>24</v>
      </c>
      <c r="M270" s="2">
        <v>3</v>
      </c>
      <c r="N270" s="2">
        <v>2</v>
      </c>
      <c r="O270" s="2">
        <v>3</v>
      </c>
      <c r="P270" s="2">
        <v>4</v>
      </c>
      <c r="Q270" s="2" t="s">
        <v>24</v>
      </c>
    </row>
    <row r="271" spans="1:17" x14ac:dyDescent="0.25">
      <c r="A271" s="2" t="s">
        <v>61</v>
      </c>
      <c r="B271" s="2">
        <v>36</v>
      </c>
      <c r="C271" s="2" t="s">
        <v>18</v>
      </c>
      <c r="D271" s="2" t="s">
        <v>19</v>
      </c>
      <c r="E271" s="2" t="s">
        <v>20</v>
      </c>
      <c r="F271" s="2" t="s">
        <v>44</v>
      </c>
      <c r="G271" s="2" t="s">
        <v>567</v>
      </c>
      <c r="H271" s="2">
        <v>10</v>
      </c>
      <c r="I271" s="2" t="s">
        <v>31</v>
      </c>
      <c r="J271" s="2">
        <v>5477</v>
      </c>
      <c r="K271" s="2">
        <v>1</v>
      </c>
      <c r="L271" s="2" t="s">
        <v>24</v>
      </c>
      <c r="M271" s="2">
        <v>3</v>
      </c>
      <c r="N271" s="2">
        <v>2</v>
      </c>
      <c r="O271" s="2">
        <v>3</v>
      </c>
      <c r="P271" s="2">
        <v>5</v>
      </c>
      <c r="Q271" s="2" t="s">
        <v>24</v>
      </c>
    </row>
    <row r="272" spans="1:17" x14ac:dyDescent="0.25">
      <c r="A272" s="2" t="s">
        <v>168</v>
      </c>
      <c r="B272" s="2">
        <v>39</v>
      </c>
      <c r="C272" s="2" t="s">
        <v>18</v>
      </c>
      <c r="D272" s="2" t="s">
        <v>33</v>
      </c>
      <c r="E272" s="2" t="s">
        <v>28</v>
      </c>
      <c r="F272" s="2" t="s">
        <v>34</v>
      </c>
      <c r="G272" s="2" t="s">
        <v>569</v>
      </c>
      <c r="H272" s="2">
        <v>5</v>
      </c>
      <c r="I272" s="2" t="s">
        <v>42</v>
      </c>
      <c r="J272" s="2">
        <v>3010</v>
      </c>
      <c r="K272" s="2">
        <v>10</v>
      </c>
      <c r="L272" s="2" t="s">
        <v>24</v>
      </c>
      <c r="M272" s="2">
        <v>2</v>
      </c>
      <c r="N272" s="2">
        <v>1</v>
      </c>
      <c r="O272" s="2">
        <v>3</v>
      </c>
      <c r="P272" s="2">
        <v>1</v>
      </c>
      <c r="Q272" s="2" t="s">
        <v>36</v>
      </c>
    </row>
    <row r="273" spans="1:17" x14ac:dyDescent="0.25">
      <c r="A273" s="2" t="s">
        <v>93</v>
      </c>
      <c r="B273" s="2">
        <v>28</v>
      </c>
      <c r="C273" s="2" t="s">
        <v>26</v>
      </c>
      <c r="D273" s="2" t="s">
        <v>19</v>
      </c>
      <c r="E273" s="2" t="s">
        <v>28</v>
      </c>
      <c r="F273" s="2" t="s">
        <v>29</v>
      </c>
      <c r="G273" s="2" t="s">
        <v>571</v>
      </c>
      <c r="H273" s="2">
        <v>0</v>
      </c>
      <c r="I273" s="2" t="s">
        <v>23</v>
      </c>
      <c r="J273" s="2">
        <v>12289</v>
      </c>
      <c r="K273" s="2">
        <v>4</v>
      </c>
      <c r="L273" s="2" t="s">
        <v>36</v>
      </c>
      <c r="M273" s="2">
        <v>2</v>
      </c>
      <c r="N273" s="2">
        <v>3</v>
      </c>
      <c r="O273" s="2">
        <v>3</v>
      </c>
      <c r="P273" s="2">
        <v>3</v>
      </c>
      <c r="Q273" s="2" t="s">
        <v>24</v>
      </c>
    </row>
    <row r="274" spans="1:17" x14ac:dyDescent="0.25">
      <c r="A274" s="2" t="s">
        <v>606</v>
      </c>
      <c r="B274" s="2">
        <v>24</v>
      </c>
      <c r="C274" s="2" t="s">
        <v>18</v>
      </c>
      <c r="D274" s="2" t="s">
        <v>33</v>
      </c>
      <c r="E274" s="2" t="s">
        <v>28</v>
      </c>
      <c r="F274" s="2" t="s">
        <v>59</v>
      </c>
      <c r="G274" s="2" t="s">
        <v>573</v>
      </c>
      <c r="H274" s="2">
        <v>4</v>
      </c>
      <c r="I274" s="2" t="s">
        <v>42</v>
      </c>
      <c r="J274" s="2">
        <v>6197</v>
      </c>
      <c r="K274" s="2">
        <v>9</v>
      </c>
      <c r="L274" s="2" t="s">
        <v>24</v>
      </c>
      <c r="M274" s="2">
        <v>3</v>
      </c>
      <c r="N274" s="2">
        <v>1</v>
      </c>
      <c r="O274" s="2">
        <v>3</v>
      </c>
      <c r="P274" s="2">
        <v>2</v>
      </c>
      <c r="Q274" s="2" t="s">
        <v>24</v>
      </c>
    </row>
    <row r="275" spans="1:17" x14ac:dyDescent="0.25">
      <c r="A275" s="2" t="s">
        <v>732</v>
      </c>
      <c r="B275" s="2">
        <v>32</v>
      </c>
      <c r="C275" s="2" t="s">
        <v>18</v>
      </c>
      <c r="D275" s="2" t="s">
        <v>33</v>
      </c>
      <c r="E275" s="2" t="s">
        <v>28</v>
      </c>
      <c r="F275" s="2" t="s">
        <v>59</v>
      </c>
      <c r="G275" s="2" t="s">
        <v>575</v>
      </c>
      <c r="H275" s="2">
        <v>7</v>
      </c>
      <c r="I275" s="2" t="s">
        <v>31</v>
      </c>
      <c r="J275" s="2">
        <v>6073</v>
      </c>
      <c r="K275" s="2">
        <v>18</v>
      </c>
      <c r="L275" s="2" t="s">
        <v>36</v>
      </c>
      <c r="M275" s="2">
        <v>1</v>
      </c>
      <c r="N275" s="2">
        <v>4</v>
      </c>
      <c r="O275" s="2">
        <v>3</v>
      </c>
      <c r="P275" s="2">
        <v>1</v>
      </c>
      <c r="Q275" s="2" t="s">
        <v>36</v>
      </c>
    </row>
    <row r="276" spans="1:17" x14ac:dyDescent="0.25">
      <c r="A276" s="2" t="s">
        <v>850</v>
      </c>
      <c r="B276" s="2">
        <v>37</v>
      </c>
      <c r="C276" s="2" t="s">
        <v>18</v>
      </c>
      <c r="D276" s="2" t="s">
        <v>19</v>
      </c>
      <c r="E276" s="2" t="s">
        <v>20</v>
      </c>
      <c r="F276" s="2" t="s">
        <v>44</v>
      </c>
      <c r="G276" s="2" t="s">
        <v>577</v>
      </c>
      <c r="H276" s="2">
        <v>2</v>
      </c>
      <c r="I276" s="2" t="s">
        <v>23</v>
      </c>
      <c r="J276" s="2">
        <v>6270</v>
      </c>
      <c r="K276" s="2">
        <v>1</v>
      </c>
      <c r="L276" s="2" t="s">
        <v>36</v>
      </c>
      <c r="M276" s="2">
        <v>1</v>
      </c>
      <c r="N276" s="2">
        <v>3</v>
      </c>
      <c r="O276" s="2">
        <v>3</v>
      </c>
      <c r="P276" s="2">
        <v>4</v>
      </c>
      <c r="Q276" s="2" t="s">
        <v>36</v>
      </c>
    </row>
    <row r="277" spans="1:17" x14ac:dyDescent="0.25">
      <c r="A277" s="2" t="s">
        <v>764</v>
      </c>
      <c r="B277" s="2">
        <v>23</v>
      </c>
      <c r="C277" s="2" t="s">
        <v>18</v>
      </c>
      <c r="D277" s="2" t="s">
        <v>33</v>
      </c>
      <c r="E277" s="2" t="s">
        <v>28</v>
      </c>
      <c r="F277" s="2" t="s">
        <v>64</v>
      </c>
      <c r="G277" s="2" t="s">
        <v>579</v>
      </c>
      <c r="H277" s="2">
        <v>1</v>
      </c>
      <c r="I277" s="2" t="s">
        <v>23</v>
      </c>
      <c r="J277" s="2">
        <v>5167</v>
      </c>
      <c r="K277" s="2">
        <v>7</v>
      </c>
      <c r="L277" s="2" t="s">
        <v>24</v>
      </c>
      <c r="M277" s="2">
        <v>2</v>
      </c>
      <c r="N277" s="2">
        <v>3</v>
      </c>
      <c r="O277" s="2">
        <v>3</v>
      </c>
      <c r="P277" s="2">
        <v>0</v>
      </c>
      <c r="Q277" s="2" t="s">
        <v>36</v>
      </c>
    </row>
    <row r="278" spans="1:17" x14ac:dyDescent="0.25">
      <c r="A278" s="2" t="s">
        <v>845</v>
      </c>
      <c r="B278" s="2">
        <v>37</v>
      </c>
      <c r="C278" s="2" t="s">
        <v>26</v>
      </c>
      <c r="D278" s="2" t="s">
        <v>27</v>
      </c>
      <c r="E278" s="2" t="s">
        <v>28</v>
      </c>
      <c r="F278" s="2" t="s">
        <v>59</v>
      </c>
      <c r="G278" s="2" t="s">
        <v>581</v>
      </c>
      <c r="H278" s="2">
        <v>3</v>
      </c>
      <c r="I278" s="2" t="s">
        <v>42</v>
      </c>
      <c r="J278" s="2">
        <v>6978</v>
      </c>
      <c r="K278" s="2">
        <v>3</v>
      </c>
      <c r="L278" s="2" t="s">
        <v>36</v>
      </c>
      <c r="M278" s="2">
        <v>2</v>
      </c>
      <c r="N278" s="2">
        <v>4</v>
      </c>
      <c r="O278" s="2">
        <v>4</v>
      </c>
      <c r="P278" s="2">
        <v>5</v>
      </c>
      <c r="Q278" s="2" t="s">
        <v>24</v>
      </c>
    </row>
    <row r="279" spans="1:17" x14ac:dyDescent="0.25">
      <c r="A279" s="2" t="s">
        <v>518</v>
      </c>
      <c r="B279" s="2">
        <v>26</v>
      </c>
      <c r="C279" s="2" t="s">
        <v>26</v>
      </c>
      <c r="D279" s="2" t="s">
        <v>33</v>
      </c>
      <c r="E279" s="2" t="s">
        <v>28</v>
      </c>
      <c r="F279" s="2" t="s">
        <v>59</v>
      </c>
      <c r="G279" s="2" t="s">
        <v>583</v>
      </c>
      <c r="H279" s="2">
        <v>3</v>
      </c>
      <c r="I279" s="2" t="s">
        <v>42</v>
      </c>
      <c r="J279" s="2">
        <v>6322</v>
      </c>
      <c r="K279" s="2">
        <v>8</v>
      </c>
      <c r="L279" s="2" t="s">
        <v>24</v>
      </c>
      <c r="M279" s="2">
        <v>2</v>
      </c>
      <c r="N279" s="2">
        <v>2</v>
      </c>
      <c r="O279" s="2">
        <v>3</v>
      </c>
      <c r="P279" s="2">
        <v>3</v>
      </c>
      <c r="Q279" s="2" t="s">
        <v>24</v>
      </c>
    </row>
    <row r="280" spans="1:17" x14ac:dyDescent="0.25">
      <c r="A280" s="2" t="s">
        <v>331</v>
      </c>
      <c r="B280" s="2">
        <v>37</v>
      </c>
      <c r="C280" s="2" t="s">
        <v>18</v>
      </c>
      <c r="D280" s="2" t="s">
        <v>33</v>
      </c>
      <c r="E280" s="2" t="s">
        <v>20</v>
      </c>
      <c r="F280" s="2" t="s">
        <v>40</v>
      </c>
      <c r="G280" s="2" t="s">
        <v>577</v>
      </c>
      <c r="H280" s="2">
        <v>2</v>
      </c>
      <c r="I280" s="2" t="s">
        <v>23</v>
      </c>
      <c r="J280" s="2">
        <v>3770</v>
      </c>
      <c r="K280" s="2">
        <v>1</v>
      </c>
      <c r="L280" s="2" t="s">
        <v>36</v>
      </c>
      <c r="M280" s="2">
        <v>1</v>
      </c>
      <c r="N280" s="2">
        <v>2</v>
      </c>
      <c r="O280" s="2">
        <v>3</v>
      </c>
      <c r="P280" s="2">
        <v>5</v>
      </c>
      <c r="Q280" s="2" t="s">
        <v>36</v>
      </c>
    </row>
    <row r="281" spans="1:17" x14ac:dyDescent="0.25">
      <c r="A281" s="2" t="s">
        <v>748</v>
      </c>
      <c r="B281" s="2">
        <v>36</v>
      </c>
      <c r="C281" s="2" t="s">
        <v>18</v>
      </c>
      <c r="D281" s="2" t="s">
        <v>33</v>
      </c>
      <c r="E281" s="2" t="s">
        <v>28</v>
      </c>
      <c r="F281" s="2" t="s">
        <v>34</v>
      </c>
      <c r="G281" s="2" t="s">
        <v>586</v>
      </c>
      <c r="H281" s="2">
        <v>0</v>
      </c>
      <c r="I281" s="2" t="s">
        <v>23</v>
      </c>
      <c r="J281" s="2">
        <v>3452</v>
      </c>
      <c r="K281" s="2">
        <v>3</v>
      </c>
      <c r="L281" s="2" t="s">
        <v>24</v>
      </c>
      <c r="M281" s="2">
        <v>3</v>
      </c>
      <c r="N281" s="2">
        <v>3</v>
      </c>
      <c r="O281" s="2">
        <v>3</v>
      </c>
      <c r="P281" s="2">
        <v>3</v>
      </c>
      <c r="Q281" s="2" t="s">
        <v>24</v>
      </c>
    </row>
    <row r="282" spans="1:17" x14ac:dyDescent="0.25">
      <c r="A282" s="2" t="s">
        <v>584</v>
      </c>
      <c r="B282" s="2">
        <v>20</v>
      </c>
      <c r="C282" s="2" t="s">
        <v>26</v>
      </c>
      <c r="D282" s="2" t="s">
        <v>33</v>
      </c>
      <c r="E282" s="2" t="s">
        <v>28</v>
      </c>
      <c r="F282" s="2" t="s">
        <v>59</v>
      </c>
      <c r="G282" s="2" t="s">
        <v>588</v>
      </c>
      <c r="H282" s="2">
        <v>2</v>
      </c>
      <c r="I282" s="2" t="s">
        <v>23</v>
      </c>
      <c r="J282" s="2">
        <v>6982</v>
      </c>
      <c r="K282" s="2">
        <v>3</v>
      </c>
      <c r="L282" s="2" t="s">
        <v>24</v>
      </c>
      <c r="M282" s="2">
        <v>4</v>
      </c>
      <c r="N282" s="2">
        <v>1</v>
      </c>
      <c r="O282" s="2">
        <v>4</v>
      </c>
      <c r="P282" s="2">
        <v>3</v>
      </c>
      <c r="Q282" s="2" t="s">
        <v>24</v>
      </c>
    </row>
    <row r="283" spans="1:17" x14ac:dyDescent="0.25">
      <c r="A283" s="2" t="s">
        <v>407</v>
      </c>
      <c r="B283" s="2">
        <v>37</v>
      </c>
      <c r="C283" s="2" t="s">
        <v>26</v>
      </c>
      <c r="D283" s="2" t="s">
        <v>33</v>
      </c>
      <c r="E283" s="2" t="s">
        <v>28</v>
      </c>
      <c r="F283" s="2" t="s">
        <v>34</v>
      </c>
      <c r="G283" s="2" t="s">
        <v>590</v>
      </c>
      <c r="H283" s="2">
        <v>1</v>
      </c>
      <c r="I283" s="2" t="s">
        <v>23</v>
      </c>
      <c r="J283" s="2">
        <v>2184</v>
      </c>
      <c r="K283" s="2">
        <v>6</v>
      </c>
      <c r="L283" s="2" t="s">
        <v>36</v>
      </c>
      <c r="M283" s="2">
        <v>4</v>
      </c>
      <c r="N283" s="2">
        <v>2</v>
      </c>
      <c r="O283" s="2">
        <v>3</v>
      </c>
      <c r="P283" s="2">
        <v>0</v>
      </c>
      <c r="Q283" s="2" t="s">
        <v>24</v>
      </c>
    </row>
    <row r="284" spans="1:17" x14ac:dyDescent="0.25">
      <c r="A284" s="2" t="s">
        <v>297</v>
      </c>
      <c r="B284" s="2">
        <v>25</v>
      </c>
      <c r="C284" s="2" t="s">
        <v>26</v>
      </c>
      <c r="D284" s="2" t="s">
        <v>33</v>
      </c>
      <c r="E284" s="2" t="s">
        <v>20</v>
      </c>
      <c r="F284" s="2" t="s">
        <v>40</v>
      </c>
      <c r="G284" s="2" t="s">
        <v>592</v>
      </c>
      <c r="H284" s="2">
        <v>1</v>
      </c>
      <c r="I284" s="2" t="s">
        <v>23</v>
      </c>
      <c r="J284" s="2">
        <v>4909</v>
      </c>
      <c r="K284" s="2">
        <v>2</v>
      </c>
      <c r="L284" s="2" t="s">
        <v>24</v>
      </c>
      <c r="M284" s="2">
        <v>4</v>
      </c>
      <c r="N284" s="2">
        <v>3</v>
      </c>
      <c r="O284" s="2">
        <v>4</v>
      </c>
      <c r="P284" s="2">
        <v>2</v>
      </c>
      <c r="Q284" s="2" t="s">
        <v>36</v>
      </c>
    </row>
    <row r="285" spans="1:17" x14ac:dyDescent="0.25">
      <c r="A285" s="2" t="s">
        <v>566</v>
      </c>
      <c r="B285" s="2">
        <v>40</v>
      </c>
      <c r="C285" s="2" t="s">
        <v>26</v>
      </c>
      <c r="D285" s="2" t="s">
        <v>27</v>
      </c>
      <c r="E285" s="2" t="s">
        <v>20</v>
      </c>
      <c r="F285" s="2" t="s">
        <v>40</v>
      </c>
      <c r="G285" s="2" t="s">
        <v>571</v>
      </c>
      <c r="H285" s="2">
        <v>0</v>
      </c>
      <c r="I285" s="2" t="s">
        <v>23</v>
      </c>
      <c r="J285" s="2">
        <v>2811</v>
      </c>
      <c r="K285" s="2">
        <v>7</v>
      </c>
      <c r="L285" s="2" t="s">
        <v>24</v>
      </c>
      <c r="M285" s="2">
        <v>4</v>
      </c>
      <c r="N285" s="2">
        <v>1</v>
      </c>
      <c r="O285" s="2">
        <v>3</v>
      </c>
      <c r="P285" s="2">
        <v>2</v>
      </c>
      <c r="Q285" s="2" t="s">
        <v>24</v>
      </c>
    </row>
    <row r="286" spans="1:17" x14ac:dyDescent="0.25">
      <c r="A286" s="2" t="s">
        <v>870</v>
      </c>
      <c r="B286" s="2">
        <v>34</v>
      </c>
      <c r="C286" s="2" t="s">
        <v>18</v>
      </c>
      <c r="D286" s="2" t="s">
        <v>19</v>
      </c>
      <c r="E286" s="2" t="s">
        <v>28</v>
      </c>
      <c r="F286" s="2" t="s">
        <v>34</v>
      </c>
      <c r="G286" s="2" t="s">
        <v>595</v>
      </c>
      <c r="H286" s="2">
        <v>0</v>
      </c>
      <c r="I286" s="2" t="s">
        <v>23</v>
      </c>
      <c r="J286" s="2">
        <v>2614</v>
      </c>
      <c r="K286" s="2">
        <v>3</v>
      </c>
      <c r="L286" s="2" t="s">
        <v>36</v>
      </c>
      <c r="M286" s="2">
        <v>4</v>
      </c>
      <c r="N286" s="2">
        <v>2</v>
      </c>
      <c r="O286" s="2">
        <v>3</v>
      </c>
      <c r="P286" s="2">
        <v>5</v>
      </c>
      <c r="Q286" s="2" t="s">
        <v>36</v>
      </c>
    </row>
    <row r="287" spans="1:17" x14ac:dyDescent="0.25">
      <c r="A287" s="2" t="s">
        <v>233</v>
      </c>
      <c r="B287" s="2">
        <v>42</v>
      </c>
      <c r="C287" s="2" t="s">
        <v>18</v>
      </c>
      <c r="D287" s="2" t="s">
        <v>33</v>
      </c>
      <c r="E287" s="2" t="s">
        <v>28</v>
      </c>
      <c r="F287" s="2" t="s">
        <v>34</v>
      </c>
      <c r="G287" s="2" t="s">
        <v>597</v>
      </c>
      <c r="H287" s="2">
        <v>6</v>
      </c>
      <c r="I287" s="2" t="s">
        <v>31</v>
      </c>
      <c r="J287" s="2">
        <v>3217</v>
      </c>
      <c r="K287" s="2">
        <v>7</v>
      </c>
      <c r="L287" s="2" t="s">
        <v>24</v>
      </c>
      <c r="M287" s="2">
        <v>1</v>
      </c>
      <c r="N287" s="2">
        <v>4</v>
      </c>
      <c r="O287" s="2">
        <v>3</v>
      </c>
      <c r="P287" s="2">
        <v>0</v>
      </c>
      <c r="Q287" s="2" t="s">
        <v>36</v>
      </c>
    </row>
    <row r="288" spans="1:17" x14ac:dyDescent="0.25">
      <c r="A288" s="2" t="s">
        <v>977</v>
      </c>
      <c r="B288" s="2">
        <v>30</v>
      </c>
      <c r="C288" s="2" t="s">
        <v>26</v>
      </c>
      <c r="D288" s="2" t="s">
        <v>19</v>
      </c>
      <c r="E288" s="2" t="s">
        <v>20</v>
      </c>
      <c r="F288" s="2" t="s">
        <v>44</v>
      </c>
      <c r="G288" s="2" t="s">
        <v>599</v>
      </c>
      <c r="H288" s="2">
        <v>3</v>
      </c>
      <c r="I288" s="2" t="s">
        <v>42</v>
      </c>
      <c r="J288" s="2">
        <v>7470</v>
      </c>
      <c r="K288" s="2">
        <v>11</v>
      </c>
      <c r="L288" s="2" t="s">
        <v>24</v>
      </c>
      <c r="M288" s="2">
        <v>4</v>
      </c>
      <c r="N288" s="2">
        <v>4</v>
      </c>
      <c r="O288" s="2">
        <v>3</v>
      </c>
      <c r="P288" s="2">
        <v>3</v>
      </c>
      <c r="Q288" s="2" t="s">
        <v>24</v>
      </c>
    </row>
    <row r="289" spans="1:17" x14ac:dyDescent="0.25">
      <c r="A289" s="2" t="s">
        <v>766</v>
      </c>
      <c r="B289" s="2">
        <v>30</v>
      </c>
      <c r="C289" s="2" t="s">
        <v>18</v>
      </c>
      <c r="D289" s="2" t="s">
        <v>19</v>
      </c>
      <c r="E289" s="2" t="s">
        <v>110</v>
      </c>
      <c r="F289" s="2" t="s">
        <v>128</v>
      </c>
      <c r="G289" s="2" t="s">
        <v>601</v>
      </c>
      <c r="H289" s="2">
        <v>2</v>
      </c>
      <c r="I289" s="2" t="s">
        <v>23</v>
      </c>
      <c r="J289" s="2">
        <v>9519</v>
      </c>
      <c r="K289" s="2">
        <v>7</v>
      </c>
      <c r="L289" s="2" t="s">
        <v>36</v>
      </c>
      <c r="M289" s="2">
        <v>1</v>
      </c>
      <c r="N289" s="2">
        <v>4</v>
      </c>
      <c r="O289" s="2">
        <v>4</v>
      </c>
      <c r="P289" s="2">
        <v>2</v>
      </c>
      <c r="Q289" s="2" t="s">
        <v>24</v>
      </c>
    </row>
    <row r="290" spans="1:17" x14ac:dyDescent="0.25">
      <c r="A290" s="2" t="s">
        <v>650</v>
      </c>
      <c r="B290" s="2">
        <v>31</v>
      </c>
      <c r="C290" s="2" t="s">
        <v>18</v>
      </c>
      <c r="D290" s="2" t="s">
        <v>33</v>
      </c>
      <c r="E290" s="2" t="s">
        <v>28</v>
      </c>
      <c r="F290" s="2" t="s">
        <v>34</v>
      </c>
      <c r="G290" s="2" t="s">
        <v>603</v>
      </c>
      <c r="H290" s="2">
        <v>0</v>
      </c>
      <c r="I290" s="2" t="s">
        <v>23</v>
      </c>
      <c r="J290" s="2">
        <v>3307</v>
      </c>
      <c r="K290" s="2">
        <v>1</v>
      </c>
      <c r="L290" s="2" t="s">
        <v>24</v>
      </c>
      <c r="M290" s="2">
        <v>3</v>
      </c>
      <c r="N290" s="2">
        <v>3</v>
      </c>
      <c r="O290" s="2">
        <v>3</v>
      </c>
      <c r="P290" s="2">
        <v>3</v>
      </c>
      <c r="Q290" s="2" t="s">
        <v>24</v>
      </c>
    </row>
    <row r="291" spans="1:17" x14ac:dyDescent="0.25">
      <c r="A291" s="2" t="s">
        <v>1046</v>
      </c>
      <c r="B291" s="2">
        <v>46</v>
      </c>
      <c r="C291" s="2" t="s">
        <v>18</v>
      </c>
      <c r="D291" s="2" t="s">
        <v>33</v>
      </c>
      <c r="E291" s="2" t="s">
        <v>28</v>
      </c>
      <c r="F291" s="2" t="s">
        <v>64</v>
      </c>
      <c r="G291" s="2" t="s">
        <v>592</v>
      </c>
      <c r="H291" s="2">
        <v>1</v>
      </c>
      <c r="I291" s="2" t="s">
        <v>23</v>
      </c>
      <c r="J291" s="2">
        <v>5746</v>
      </c>
      <c r="K291" s="2">
        <v>2</v>
      </c>
      <c r="L291" s="2" t="s">
        <v>24</v>
      </c>
      <c r="M291" s="2">
        <v>3</v>
      </c>
      <c r="N291" s="2">
        <v>4</v>
      </c>
      <c r="O291" s="2">
        <v>3</v>
      </c>
      <c r="P291" s="2">
        <v>3</v>
      </c>
      <c r="Q291" s="2" t="s">
        <v>24</v>
      </c>
    </row>
    <row r="292" spans="1:17" x14ac:dyDescent="0.25">
      <c r="A292" s="2" t="s">
        <v>375</v>
      </c>
      <c r="B292" s="2">
        <v>34</v>
      </c>
      <c r="C292" s="2" t="s">
        <v>18</v>
      </c>
      <c r="D292" s="2" t="s">
        <v>33</v>
      </c>
      <c r="E292" s="2" t="s">
        <v>28</v>
      </c>
      <c r="F292" s="2" t="s">
        <v>59</v>
      </c>
      <c r="G292" s="2" t="s">
        <v>112</v>
      </c>
      <c r="H292" s="2">
        <v>4</v>
      </c>
      <c r="I292" s="2" t="s">
        <v>42</v>
      </c>
      <c r="J292" s="2">
        <v>5204</v>
      </c>
      <c r="K292" s="2">
        <v>7</v>
      </c>
      <c r="L292" s="2" t="s">
        <v>24</v>
      </c>
      <c r="M292" s="2">
        <v>2</v>
      </c>
      <c r="N292" s="2">
        <v>2</v>
      </c>
      <c r="O292" s="2">
        <v>3</v>
      </c>
      <c r="P292" s="2">
        <v>4</v>
      </c>
      <c r="Q292" s="2" t="s">
        <v>36</v>
      </c>
    </row>
    <row r="293" spans="1:17" x14ac:dyDescent="0.25">
      <c r="A293" s="2" t="s">
        <v>776</v>
      </c>
      <c r="B293" s="2">
        <v>34</v>
      </c>
      <c r="C293" s="2" t="s">
        <v>18</v>
      </c>
      <c r="D293" s="2" t="s">
        <v>33</v>
      </c>
      <c r="E293" s="2" t="s">
        <v>20</v>
      </c>
      <c r="F293" s="2" t="s">
        <v>44</v>
      </c>
      <c r="G293" s="2" t="s">
        <v>607</v>
      </c>
      <c r="H293" s="2">
        <v>1</v>
      </c>
      <c r="I293" s="2" t="s">
        <v>23</v>
      </c>
      <c r="J293" s="2">
        <v>6299</v>
      </c>
      <c r="K293" s="2">
        <v>4</v>
      </c>
      <c r="L293" s="2" t="s">
        <v>36</v>
      </c>
      <c r="M293" s="2">
        <v>1</v>
      </c>
      <c r="N293" s="2">
        <v>2</v>
      </c>
      <c r="O293" s="2">
        <v>4</v>
      </c>
      <c r="P293" s="2">
        <v>3</v>
      </c>
      <c r="Q293" s="2" t="s">
        <v>24</v>
      </c>
    </row>
    <row r="294" spans="1:17" x14ac:dyDescent="0.25">
      <c r="A294" s="2" t="s">
        <v>843</v>
      </c>
      <c r="B294" s="2">
        <v>49</v>
      </c>
      <c r="C294" s="2" t="s">
        <v>26</v>
      </c>
      <c r="D294" s="2" t="s">
        <v>19</v>
      </c>
      <c r="E294" s="2" t="s">
        <v>110</v>
      </c>
      <c r="F294" s="2" t="s">
        <v>189</v>
      </c>
      <c r="G294" s="2" t="s">
        <v>609</v>
      </c>
      <c r="H294" s="2">
        <v>2</v>
      </c>
      <c r="I294" s="2" t="s">
        <v>23</v>
      </c>
      <c r="J294" s="2">
        <v>4629</v>
      </c>
      <c r="K294" s="2">
        <v>2</v>
      </c>
      <c r="L294" s="2" t="s">
        <v>36</v>
      </c>
      <c r="M294" s="2">
        <v>1</v>
      </c>
      <c r="N294" s="2">
        <v>2</v>
      </c>
      <c r="O294" s="2">
        <v>4</v>
      </c>
      <c r="P294" s="2">
        <v>0</v>
      </c>
      <c r="Q294" s="2" t="s">
        <v>36</v>
      </c>
    </row>
    <row r="295" spans="1:17" x14ac:dyDescent="0.25">
      <c r="A295" s="2" t="s">
        <v>339</v>
      </c>
      <c r="B295" s="2">
        <v>33</v>
      </c>
      <c r="C295" s="2" t="s">
        <v>26</v>
      </c>
      <c r="D295" s="2" t="s">
        <v>19</v>
      </c>
      <c r="E295" s="2" t="s">
        <v>20</v>
      </c>
      <c r="F295" s="2" t="s">
        <v>21</v>
      </c>
      <c r="G295" s="2" t="s">
        <v>611</v>
      </c>
      <c r="H295" s="2">
        <v>0</v>
      </c>
      <c r="I295" s="2" t="s">
        <v>23</v>
      </c>
      <c r="J295" s="2">
        <v>11837</v>
      </c>
      <c r="K295" s="2">
        <v>12</v>
      </c>
      <c r="L295" s="2" t="s">
        <v>24</v>
      </c>
      <c r="M295" s="2">
        <v>4</v>
      </c>
      <c r="N295" s="2">
        <v>4</v>
      </c>
      <c r="O295" s="2">
        <v>3</v>
      </c>
      <c r="P295" s="2">
        <v>4</v>
      </c>
      <c r="Q295" s="2" t="s">
        <v>24</v>
      </c>
    </row>
    <row r="296" spans="1:17" x14ac:dyDescent="0.25">
      <c r="A296" s="2" t="s">
        <v>1018</v>
      </c>
      <c r="B296" s="2">
        <v>25</v>
      </c>
      <c r="C296" s="2" t="s">
        <v>26</v>
      </c>
      <c r="D296" s="2" t="s">
        <v>27</v>
      </c>
      <c r="E296" s="2" t="s">
        <v>20</v>
      </c>
      <c r="F296" s="2" t="s">
        <v>40</v>
      </c>
      <c r="G296" s="2" t="s">
        <v>454</v>
      </c>
      <c r="H296" s="2">
        <v>1</v>
      </c>
      <c r="I296" s="2" t="s">
        <v>23</v>
      </c>
      <c r="J296" s="2">
        <v>3405</v>
      </c>
      <c r="K296" s="2">
        <v>6</v>
      </c>
      <c r="L296" s="2" t="s">
        <v>24</v>
      </c>
      <c r="M296" s="2">
        <v>1</v>
      </c>
      <c r="N296" s="2">
        <v>3</v>
      </c>
      <c r="O296" s="2">
        <v>4</v>
      </c>
      <c r="P296" s="2">
        <v>5</v>
      </c>
      <c r="Q296" s="2" t="s">
        <v>24</v>
      </c>
    </row>
    <row r="297" spans="1:17" x14ac:dyDescent="0.25">
      <c r="A297" s="2" t="s">
        <v>287</v>
      </c>
      <c r="B297" s="2">
        <v>23</v>
      </c>
      <c r="C297" s="2" t="s">
        <v>18</v>
      </c>
      <c r="D297" s="2" t="s">
        <v>19</v>
      </c>
      <c r="E297" s="2" t="s">
        <v>28</v>
      </c>
      <c r="F297" s="2" t="s">
        <v>64</v>
      </c>
      <c r="G297" s="2" t="s">
        <v>614</v>
      </c>
      <c r="H297" s="2">
        <v>1</v>
      </c>
      <c r="I297" s="2" t="s">
        <v>23</v>
      </c>
      <c r="J297" s="2">
        <v>5139</v>
      </c>
      <c r="K297" s="2">
        <v>2</v>
      </c>
      <c r="L297" s="2" t="s">
        <v>24</v>
      </c>
      <c r="M297" s="2">
        <v>2</v>
      </c>
      <c r="N297" s="2">
        <v>3</v>
      </c>
      <c r="O297" s="2">
        <v>3</v>
      </c>
      <c r="P297" s="2">
        <v>1</v>
      </c>
      <c r="Q297" s="2" t="s">
        <v>24</v>
      </c>
    </row>
    <row r="298" spans="1:17" x14ac:dyDescent="0.25">
      <c r="A298" s="2" t="s">
        <v>203</v>
      </c>
      <c r="B298" s="2">
        <v>26</v>
      </c>
      <c r="C298" s="2" t="s">
        <v>18</v>
      </c>
      <c r="D298" s="2" t="s">
        <v>33</v>
      </c>
      <c r="E298" s="2" t="s">
        <v>20</v>
      </c>
      <c r="F298" s="2" t="s">
        <v>44</v>
      </c>
      <c r="G298" s="2" t="s">
        <v>616</v>
      </c>
      <c r="H298" s="2">
        <v>25</v>
      </c>
      <c r="I298" s="2" t="s">
        <v>92</v>
      </c>
      <c r="J298" s="2">
        <v>6771</v>
      </c>
      <c r="K298" s="2">
        <v>19</v>
      </c>
      <c r="L298" s="2" t="s">
        <v>36</v>
      </c>
      <c r="M298" s="2">
        <v>1</v>
      </c>
      <c r="N298" s="2">
        <v>3</v>
      </c>
      <c r="O298" s="2">
        <v>3</v>
      </c>
      <c r="P298" s="2">
        <v>3</v>
      </c>
      <c r="Q298" s="2" t="s">
        <v>24</v>
      </c>
    </row>
    <row r="299" spans="1:17" x14ac:dyDescent="0.25">
      <c r="A299" s="2" t="s">
        <v>263</v>
      </c>
      <c r="B299" s="2">
        <v>32</v>
      </c>
      <c r="C299" s="2" t="s">
        <v>26</v>
      </c>
      <c r="D299" s="2" t="s">
        <v>33</v>
      </c>
      <c r="E299" s="2" t="s">
        <v>28</v>
      </c>
      <c r="F299" s="2" t="s">
        <v>64</v>
      </c>
      <c r="G299" s="2" t="s">
        <v>618</v>
      </c>
      <c r="H299" s="2">
        <v>0</v>
      </c>
      <c r="I299" s="2" t="s">
        <v>23</v>
      </c>
      <c r="J299" s="2">
        <v>5071</v>
      </c>
      <c r="K299" s="2">
        <v>2</v>
      </c>
      <c r="L299" s="2" t="s">
        <v>24</v>
      </c>
      <c r="M299" s="2">
        <v>4</v>
      </c>
      <c r="N299" s="2">
        <v>3</v>
      </c>
      <c r="O299" s="2">
        <v>3</v>
      </c>
      <c r="P299" s="2">
        <v>0</v>
      </c>
      <c r="Q299" s="2" t="s">
        <v>24</v>
      </c>
    </row>
    <row r="300" spans="1:17" x14ac:dyDescent="0.25">
      <c r="A300" s="2" t="s">
        <v>438</v>
      </c>
      <c r="B300" s="2">
        <v>20</v>
      </c>
      <c r="C300" s="2" t="s">
        <v>26</v>
      </c>
      <c r="D300" s="2" t="s">
        <v>27</v>
      </c>
      <c r="E300" s="2" t="s">
        <v>28</v>
      </c>
      <c r="F300" s="2" t="s">
        <v>34</v>
      </c>
      <c r="G300" s="2" t="s">
        <v>620</v>
      </c>
      <c r="H300" s="2">
        <v>8</v>
      </c>
      <c r="I300" s="2" t="s">
        <v>31</v>
      </c>
      <c r="J300" s="2">
        <v>3822</v>
      </c>
      <c r="K300" s="2">
        <v>4</v>
      </c>
      <c r="L300" s="2" t="s">
        <v>24</v>
      </c>
      <c r="M300" s="2">
        <v>4</v>
      </c>
      <c r="N300" s="2">
        <v>3</v>
      </c>
      <c r="O300" s="2">
        <v>3</v>
      </c>
      <c r="P300" s="2">
        <v>0</v>
      </c>
      <c r="Q300" s="2" t="s">
        <v>24</v>
      </c>
    </row>
    <row r="301" spans="1:17" x14ac:dyDescent="0.25">
      <c r="A301" s="2" t="s">
        <v>451</v>
      </c>
      <c r="B301" s="2">
        <v>35</v>
      </c>
      <c r="C301" s="2" t="s">
        <v>26</v>
      </c>
      <c r="D301" s="2" t="s">
        <v>27</v>
      </c>
      <c r="E301" s="2" t="s">
        <v>28</v>
      </c>
      <c r="F301" s="2" t="s">
        <v>64</v>
      </c>
      <c r="G301" s="2" t="s">
        <v>622</v>
      </c>
      <c r="H301" s="2">
        <v>3</v>
      </c>
      <c r="I301" s="2" t="s">
        <v>42</v>
      </c>
      <c r="J301" s="2">
        <v>5213</v>
      </c>
      <c r="K301" s="2">
        <v>12</v>
      </c>
      <c r="L301" s="2" t="s">
        <v>24</v>
      </c>
      <c r="M301" s="2">
        <v>4</v>
      </c>
      <c r="N301" s="2">
        <v>2</v>
      </c>
      <c r="O301" s="2">
        <v>3</v>
      </c>
      <c r="P301" s="2">
        <v>3</v>
      </c>
      <c r="Q301" s="2" t="s">
        <v>24</v>
      </c>
    </row>
    <row r="302" spans="1:17" x14ac:dyDescent="0.25">
      <c r="A302" s="2" t="s">
        <v>309</v>
      </c>
      <c r="B302" s="2">
        <v>20</v>
      </c>
      <c r="C302" s="2" t="s">
        <v>18</v>
      </c>
      <c r="D302" s="2" t="s">
        <v>33</v>
      </c>
      <c r="E302" s="2" t="s">
        <v>28</v>
      </c>
      <c r="F302" s="2" t="s">
        <v>64</v>
      </c>
      <c r="G302" s="2" t="s">
        <v>624</v>
      </c>
      <c r="H302" s="2">
        <v>2</v>
      </c>
      <c r="I302" s="2" t="s">
        <v>23</v>
      </c>
      <c r="J302" s="2">
        <v>5761</v>
      </c>
      <c r="K302" s="2">
        <v>20</v>
      </c>
      <c r="L302" s="2" t="s">
        <v>24</v>
      </c>
      <c r="M302" s="2">
        <v>1</v>
      </c>
      <c r="N302" s="2">
        <v>4</v>
      </c>
      <c r="O302" s="2">
        <v>3</v>
      </c>
      <c r="P302" s="2">
        <v>0</v>
      </c>
      <c r="Q302" s="2" t="s">
        <v>24</v>
      </c>
    </row>
    <row r="303" spans="1:17" x14ac:dyDescent="0.25">
      <c r="A303" s="2" t="s">
        <v>56</v>
      </c>
      <c r="B303" s="2">
        <v>31</v>
      </c>
      <c r="C303" s="2" t="s">
        <v>26</v>
      </c>
      <c r="D303" s="2" t="s">
        <v>19</v>
      </c>
      <c r="E303" s="2" t="s">
        <v>28</v>
      </c>
      <c r="F303" s="2" t="s">
        <v>29</v>
      </c>
      <c r="G303" s="2" t="s">
        <v>626</v>
      </c>
      <c r="H303" s="2">
        <v>0</v>
      </c>
      <c r="I303" s="2" t="s">
        <v>23</v>
      </c>
      <c r="J303" s="2">
        <v>11654</v>
      </c>
      <c r="K303" s="2">
        <v>2</v>
      </c>
      <c r="L303" s="2" t="s">
        <v>24</v>
      </c>
      <c r="M303" s="2">
        <v>2</v>
      </c>
      <c r="N303" s="2">
        <v>2</v>
      </c>
      <c r="O303" s="2">
        <v>3</v>
      </c>
      <c r="P303" s="2">
        <v>1</v>
      </c>
      <c r="Q303" s="2" t="s">
        <v>24</v>
      </c>
    </row>
    <row r="304" spans="1:17" x14ac:dyDescent="0.25">
      <c r="A304" s="2" t="s">
        <v>1056</v>
      </c>
      <c r="B304" s="2">
        <v>26</v>
      </c>
      <c r="C304" s="2" t="s">
        <v>26</v>
      </c>
      <c r="D304" s="2" t="s">
        <v>19</v>
      </c>
      <c r="E304" s="2" t="s">
        <v>20</v>
      </c>
      <c r="F304" s="2" t="s">
        <v>21</v>
      </c>
      <c r="G304" s="2" t="s">
        <v>628</v>
      </c>
      <c r="H304" s="2">
        <v>0</v>
      </c>
      <c r="I304" s="2" t="s">
        <v>23</v>
      </c>
      <c r="J304" s="2">
        <v>12139</v>
      </c>
      <c r="K304" s="2">
        <v>1</v>
      </c>
      <c r="L304" s="2" t="s">
        <v>24</v>
      </c>
      <c r="M304" s="2">
        <v>3</v>
      </c>
      <c r="N304" s="2">
        <v>3</v>
      </c>
      <c r="O304" s="2">
        <v>3</v>
      </c>
      <c r="P304" s="2">
        <v>3</v>
      </c>
      <c r="Q304" s="2" t="s">
        <v>24</v>
      </c>
    </row>
    <row r="305" spans="1:17" x14ac:dyDescent="0.25">
      <c r="A305" s="2" t="s">
        <v>633</v>
      </c>
      <c r="B305" s="2">
        <v>50</v>
      </c>
      <c r="C305" s="2" t="s">
        <v>18</v>
      </c>
      <c r="D305" s="2" t="s">
        <v>19</v>
      </c>
      <c r="E305" s="2" t="s">
        <v>28</v>
      </c>
      <c r="F305" s="2" t="s">
        <v>64</v>
      </c>
      <c r="G305" s="2" t="s">
        <v>630</v>
      </c>
      <c r="H305" s="2">
        <v>0</v>
      </c>
      <c r="I305" s="2" t="s">
        <v>23</v>
      </c>
      <c r="J305" s="2">
        <v>4655</v>
      </c>
      <c r="K305" s="2">
        <v>19</v>
      </c>
      <c r="L305" s="2" t="s">
        <v>24</v>
      </c>
      <c r="M305" s="2">
        <v>3</v>
      </c>
      <c r="N305" s="2">
        <v>2</v>
      </c>
      <c r="O305" s="2">
        <v>3</v>
      </c>
      <c r="P305" s="2">
        <v>2</v>
      </c>
      <c r="Q305" s="2" t="s">
        <v>36</v>
      </c>
    </row>
    <row r="306" spans="1:17" x14ac:dyDescent="0.25">
      <c r="A306" s="2" t="s">
        <v>144</v>
      </c>
      <c r="B306" s="2">
        <v>29</v>
      </c>
      <c r="C306" s="2" t="s">
        <v>18</v>
      </c>
      <c r="D306" s="2" t="s">
        <v>33</v>
      </c>
      <c r="E306" s="2" t="s">
        <v>20</v>
      </c>
      <c r="F306" s="2" t="s">
        <v>21</v>
      </c>
      <c r="G306" s="2" t="s">
        <v>632</v>
      </c>
      <c r="H306" s="2">
        <v>6</v>
      </c>
      <c r="I306" s="2" t="s">
        <v>31</v>
      </c>
      <c r="J306" s="2">
        <v>12834</v>
      </c>
      <c r="K306" s="2">
        <v>6</v>
      </c>
      <c r="L306" s="2" t="s">
        <v>24</v>
      </c>
      <c r="M306" s="2">
        <v>2</v>
      </c>
      <c r="N306" s="2">
        <v>3</v>
      </c>
      <c r="O306" s="2">
        <v>4</v>
      </c>
      <c r="P306" s="2">
        <v>0</v>
      </c>
      <c r="Q306" s="2" t="s">
        <v>24</v>
      </c>
    </row>
    <row r="307" spans="1:17" x14ac:dyDescent="0.25">
      <c r="A307" s="2" t="s">
        <v>273</v>
      </c>
      <c r="B307" s="2">
        <v>38</v>
      </c>
      <c r="C307" s="2" t="s">
        <v>26</v>
      </c>
      <c r="D307" s="2" t="s">
        <v>27</v>
      </c>
      <c r="E307" s="2" t="s">
        <v>20</v>
      </c>
      <c r="F307" s="2" t="s">
        <v>21</v>
      </c>
      <c r="G307" s="2" t="s">
        <v>634</v>
      </c>
      <c r="H307" s="2">
        <v>1</v>
      </c>
      <c r="I307" s="2" t="s">
        <v>23</v>
      </c>
      <c r="J307" s="2">
        <v>12249</v>
      </c>
      <c r="K307" s="2">
        <v>2</v>
      </c>
      <c r="L307" s="2" t="s">
        <v>36</v>
      </c>
      <c r="M307" s="2">
        <v>3</v>
      </c>
      <c r="N307" s="2">
        <v>3</v>
      </c>
      <c r="O307" s="2">
        <v>3</v>
      </c>
      <c r="P307" s="2">
        <v>0</v>
      </c>
      <c r="Q307" s="2" t="s">
        <v>24</v>
      </c>
    </row>
    <row r="308" spans="1:17" x14ac:dyDescent="0.25">
      <c r="A308" s="2" t="s">
        <v>509</v>
      </c>
      <c r="B308" s="2">
        <v>36</v>
      </c>
      <c r="C308" s="2" t="s">
        <v>18</v>
      </c>
      <c r="D308" s="2" t="s">
        <v>33</v>
      </c>
      <c r="E308" s="2" t="s">
        <v>28</v>
      </c>
      <c r="F308" s="2" t="s">
        <v>34</v>
      </c>
      <c r="G308" s="2" t="s">
        <v>636</v>
      </c>
      <c r="H308" s="2">
        <v>6</v>
      </c>
      <c r="I308" s="2" t="s">
        <v>31</v>
      </c>
      <c r="J308" s="2">
        <v>3928</v>
      </c>
      <c r="K308" s="2">
        <v>18</v>
      </c>
      <c r="L308" s="2" t="s">
        <v>24</v>
      </c>
      <c r="M308" s="2">
        <v>1</v>
      </c>
      <c r="N308" s="2">
        <v>4</v>
      </c>
      <c r="O308" s="2">
        <v>3</v>
      </c>
      <c r="P308" s="2">
        <v>4</v>
      </c>
      <c r="Q308" s="2" t="s">
        <v>36</v>
      </c>
    </row>
    <row r="309" spans="1:17" x14ac:dyDescent="0.25">
      <c r="A309" s="2" t="s">
        <v>477</v>
      </c>
      <c r="B309" s="2">
        <v>29</v>
      </c>
      <c r="C309" s="2" t="s">
        <v>18</v>
      </c>
      <c r="D309" s="2" t="s">
        <v>19</v>
      </c>
      <c r="E309" s="2" t="s">
        <v>20</v>
      </c>
      <c r="F309" s="2" t="s">
        <v>44</v>
      </c>
      <c r="G309" s="2" t="s">
        <v>638</v>
      </c>
      <c r="H309" s="2">
        <v>7</v>
      </c>
      <c r="I309" s="2" t="s">
        <v>31</v>
      </c>
      <c r="J309" s="2">
        <v>6532</v>
      </c>
      <c r="K309" s="2">
        <v>19</v>
      </c>
      <c r="L309" s="2" t="s">
        <v>24</v>
      </c>
      <c r="M309" s="2">
        <v>3</v>
      </c>
      <c r="N309" s="2">
        <v>3</v>
      </c>
      <c r="O309" s="2">
        <v>3</v>
      </c>
      <c r="P309" s="2">
        <v>5</v>
      </c>
      <c r="Q309" s="2" t="s">
        <v>24</v>
      </c>
    </row>
    <row r="310" spans="1:17" x14ac:dyDescent="0.25">
      <c r="A310" s="2" t="s">
        <v>890</v>
      </c>
      <c r="B310" s="2">
        <v>40</v>
      </c>
      <c r="C310" s="2" t="s">
        <v>26</v>
      </c>
      <c r="D310" s="2" t="s">
        <v>19</v>
      </c>
      <c r="E310" s="2" t="s">
        <v>28</v>
      </c>
      <c r="F310" s="2" t="s">
        <v>34</v>
      </c>
      <c r="G310" s="2" t="s">
        <v>640</v>
      </c>
      <c r="H310" s="2">
        <v>0</v>
      </c>
      <c r="I310" s="2" t="s">
        <v>23</v>
      </c>
      <c r="J310" s="2">
        <v>3439</v>
      </c>
      <c r="K310" s="2">
        <v>14</v>
      </c>
      <c r="L310" s="2" t="s">
        <v>24</v>
      </c>
      <c r="M310" s="2">
        <v>2</v>
      </c>
      <c r="N310" s="2">
        <v>1</v>
      </c>
      <c r="O310" s="2">
        <v>3</v>
      </c>
      <c r="P310" s="2">
        <v>3</v>
      </c>
      <c r="Q310" s="2" t="s">
        <v>36</v>
      </c>
    </row>
    <row r="311" spans="1:17" x14ac:dyDescent="0.25">
      <c r="A311" s="2" t="s">
        <v>914</v>
      </c>
      <c r="B311" s="2">
        <v>40</v>
      </c>
      <c r="C311" s="2" t="s">
        <v>26</v>
      </c>
      <c r="D311" s="2" t="s">
        <v>33</v>
      </c>
      <c r="E311" s="2" t="s">
        <v>28</v>
      </c>
      <c r="F311" s="2" t="s">
        <v>59</v>
      </c>
      <c r="G311" s="2" t="s">
        <v>642</v>
      </c>
      <c r="H311" s="2">
        <v>5</v>
      </c>
      <c r="I311" s="2" t="s">
        <v>42</v>
      </c>
      <c r="J311" s="2">
        <v>5440</v>
      </c>
      <c r="K311" s="2">
        <v>4</v>
      </c>
      <c r="L311" s="2" t="s">
        <v>36</v>
      </c>
      <c r="M311" s="2">
        <v>4</v>
      </c>
      <c r="N311" s="2">
        <v>3</v>
      </c>
      <c r="O311" s="2">
        <v>3</v>
      </c>
      <c r="P311" s="2">
        <v>2</v>
      </c>
      <c r="Q311" s="2" t="s">
        <v>24</v>
      </c>
    </row>
    <row r="312" spans="1:17" x14ac:dyDescent="0.25">
      <c r="A312" s="2" t="s">
        <v>256</v>
      </c>
      <c r="B312" s="2">
        <v>37</v>
      </c>
      <c r="C312" s="2" t="s">
        <v>18</v>
      </c>
      <c r="D312" s="2" t="s">
        <v>33</v>
      </c>
      <c r="E312" s="2" t="s">
        <v>110</v>
      </c>
      <c r="F312" s="2" t="s">
        <v>128</v>
      </c>
      <c r="G312" s="2" t="s">
        <v>644</v>
      </c>
      <c r="H312" s="2">
        <v>3</v>
      </c>
      <c r="I312" s="2" t="s">
        <v>42</v>
      </c>
      <c r="J312" s="2">
        <v>9092</v>
      </c>
      <c r="K312" s="2">
        <v>12</v>
      </c>
      <c r="L312" s="2" t="s">
        <v>36</v>
      </c>
      <c r="M312" s="2">
        <v>1</v>
      </c>
      <c r="N312" s="2">
        <v>4</v>
      </c>
      <c r="O312" s="2">
        <v>4</v>
      </c>
      <c r="P312" s="2">
        <v>2</v>
      </c>
      <c r="Q312" s="2" t="s">
        <v>24</v>
      </c>
    </row>
    <row r="313" spans="1:17" x14ac:dyDescent="0.25">
      <c r="A313" s="2" t="s">
        <v>706</v>
      </c>
      <c r="B313" s="2">
        <v>25</v>
      </c>
      <c r="C313" s="2" t="s">
        <v>18</v>
      </c>
      <c r="D313" s="2" t="s">
        <v>33</v>
      </c>
      <c r="E313" s="2" t="s">
        <v>20</v>
      </c>
      <c r="F313" s="2" t="s">
        <v>40</v>
      </c>
      <c r="G313" s="2" t="s">
        <v>646</v>
      </c>
      <c r="H313" s="2">
        <v>1</v>
      </c>
      <c r="I313" s="2" t="s">
        <v>23</v>
      </c>
      <c r="J313" s="2">
        <v>4114</v>
      </c>
      <c r="K313" s="2">
        <v>1</v>
      </c>
      <c r="L313" s="2" t="s">
        <v>24</v>
      </c>
      <c r="M313" s="2">
        <v>4</v>
      </c>
      <c r="N313" s="2">
        <v>4</v>
      </c>
      <c r="O313" s="2">
        <v>4</v>
      </c>
      <c r="P313" s="2">
        <v>1</v>
      </c>
      <c r="Q313" s="2" t="s">
        <v>36</v>
      </c>
    </row>
    <row r="314" spans="1:17" x14ac:dyDescent="0.25">
      <c r="A314" s="2" t="s">
        <v>919</v>
      </c>
      <c r="B314" s="2">
        <v>35</v>
      </c>
      <c r="C314" s="2" t="s">
        <v>18</v>
      </c>
      <c r="D314" s="2" t="s">
        <v>33</v>
      </c>
      <c r="E314" s="2" t="s">
        <v>28</v>
      </c>
      <c r="F314" s="2" t="s">
        <v>64</v>
      </c>
      <c r="G314" s="2" t="s">
        <v>648</v>
      </c>
      <c r="H314" s="2">
        <v>3</v>
      </c>
      <c r="I314" s="2" t="s">
        <v>42</v>
      </c>
      <c r="J314" s="2">
        <v>4633</v>
      </c>
      <c r="K314" s="2">
        <v>1</v>
      </c>
      <c r="L314" s="2" t="s">
        <v>24</v>
      </c>
      <c r="M314" s="2">
        <v>2</v>
      </c>
      <c r="N314" s="2">
        <v>4</v>
      </c>
      <c r="O314" s="2">
        <v>3</v>
      </c>
      <c r="P314" s="2">
        <v>4</v>
      </c>
      <c r="Q314" s="2" t="s">
        <v>36</v>
      </c>
    </row>
    <row r="315" spans="1:17" x14ac:dyDescent="0.25">
      <c r="A315" s="2" t="s">
        <v>156</v>
      </c>
      <c r="B315" s="2">
        <v>40</v>
      </c>
      <c r="C315" s="2" t="s">
        <v>26</v>
      </c>
      <c r="D315" s="2" t="s">
        <v>27</v>
      </c>
      <c r="E315" s="2" t="s">
        <v>20</v>
      </c>
      <c r="F315" s="2" t="s">
        <v>40</v>
      </c>
      <c r="G315" s="2" t="s">
        <v>320</v>
      </c>
      <c r="H315" s="2">
        <v>1</v>
      </c>
      <c r="I315" s="2" t="s">
        <v>23</v>
      </c>
      <c r="J315" s="2">
        <v>3582</v>
      </c>
      <c r="K315" s="2">
        <v>8</v>
      </c>
      <c r="L315" s="2" t="s">
        <v>24</v>
      </c>
      <c r="M315" s="2">
        <v>2</v>
      </c>
      <c r="N315" s="2">
        <v>4</v>
      </c>
      <c r="O315" s="2">
        <v>3</v>
      </c>
      <c r="P315" s="2">
        <v>3</v>
      </c>
      <c r="Q315" s="2" t="s">
        <v>36</v>
      </c>
    </row>
    <row r="316" spans="1:17" x14ac:dyDescent="0.25">
      <c r="A316" s="2" t="s">
        <v>285</v>
      </c>
      <c r="B316" s="2">
        <v>31</v>
      </c>
      <c r="C316" s="2" t="s">
        <v>26</v>
      </c>
      <c r="D316" s="2" t="s">
        <v>33</v>
      </c>
      <c r="E316" s="2" t="s">
        <v>20</v>
      </c>
      <c r="F316" s="2" t="s">
        <v>21</v>
      </c>
      <c r="G316" s="2" t="s">
        <v>651</v>
      </c>
      <c r="H316" s="2">
        <v>1</v>
      </c>
      <c r="I316" s="2" t="s">
        <v>23</v>
      </c>
      <c r="J316" s="2">
        <v>9776</v>
      </c>
      <c r="K316" s="2">
        <v>7</v>
      </c>
      <c r="L316" s="2" t="s">
        <v>24</v>
      </c>
      <c r="M316" s="2">
        <v>2</v>
      </c>
      <c r="N316" s="2">
        <v>3</v>
      </c>
      <c r="O316" s="2">
        <v>3</v>
      </c>
      <c r="P316" s="2">
        <v>2</v>
      </c>
      <c r="Q316" s="2" t="s">
        <v>24</v>
      </c>
    </row>
    <row r="317" spans="1:17" x14ac:dyDescent="0.25">
      <c r="A317" s="2" t="s">
        <v>841</v>
      </c>
      <c r="B317" s="2">
        <v>38</v>
      </c>
      <c r="C317" s="2" t="s">
        <v>26</v>
      </c>
      <c r="D317" s="2" t="s">
        <v>33</v>
      </c>
      <c r="E317" s="2" t="s">
        <v>28</v>
      </c>
      <c r="F317" s="2" t="s">
        <v>59</v>
      </c>
      <c r="G317" s="2" t="s">
        <v>262</v>
      </c>
      <c r="H317" s="2">
        <v>0</v>
      </c>
      <c r="I317" s="2" t="s">
        <v>23</v>
      </c>
      <c r="J317" s="2">
        <v>6050</v>
      </c>
      <c r="K317" s="2">
        <v>2</v>
      </c>
      <c r="L317" s="2" t="s">
        <v>36</v>
      </c>
      <c r="M317" s="2">
        <v>1</v>
      </c>
      <c r="N317" s="2">
        <v>4</v>
      </c>
      <c r="O317" s="2">
        <v>3</v>
      </c>
      <c r="P317" s="2">
        <v>4</v>
      </c>
      <c r="Q317" s="2" t="s">
        <v>36</v>
      </c>
    </row>
    <row r="318" spans="1:17" x14ac:dyDescent="0.25">
      <c r="A318" s="2" t="s">
        <v>424</v>
      </c>
      <c r="B318" s="2">
        <v>45</v>
      </c>
      <c r="C318" s="2" t="s">
        <v>26</v>
      </c>
      <c r="D318" s="2" t="s">
        <v>19</v>
      </c>
      <c r="E318" s="2" t="s">
        <v>20</v>
      </c>
      <c r="F318" s="2" t="s">
        <v>44</v>
      </c>
      <c r="G318" s="2" t="s">
        <v>183</v>
      </c>
      <c r="H318" s="2">
        <v>6</v>
      </c>
      <c r="I318" s="2" t="s">
        <v>31</v>
      </c>
      <c r="J318" s="2">
        <v>7251</v>
      </c>
      <c r="K318" s="2">
        <v>9</v>
      </c>
      <c r="L318" s="2" t="s">
        <v>36</v>
      </c>
      <c r="M318" s="2">
        <v>4</v>
      </c>
      <c r="N318" s="2">
        <v>3</v>
      </c>
      <c r="O318" s="2">
        <v>3</v>
      </c>
      <c r="P318" s="2">
        <v>0</v>
      </c>
      <c r="Q318" s="2" t="s">
        <v>24</v>
      </c>
    </row>
    <row r="319" spans="1:17" x14ac:dyDescent="0.25">
      <c r="A319" s="2" t="s">
        <v>321</v>
      </c>
      <c r="B319" s="2">
        <v>47</v>
      </c>
      <c r="C319" s="2" t="s">
        <v>18</v>
      </c>
      <c r="D319" s="2" t="s">
        <v>27</v>
      </c>
      <c r="E319" s="2" t="s">
        <v>28</v>
      </c>
      <c r="F319" s="2" t="s">
        <v>64</v>
      </c>
      <c r="G319" s="2" t="s">
        <v>655</v>
      </c>
      <c r="H319" s="2">
        <v>6</v>
      </c>
      <c r="I319" s="2" t="s">
        <v>31</v>
      </c>
      <c r="J319" s="2">
        <v>7106</v>
      </c>
      <c r="K319" s="2">
        <v>3</v>
      </c>
      <c r="L319" s="2" t="s">
        <v>36</v>
      </c>
      <c r="M319" s="2">
        <v>3</v>
      </c>
      <c r="N319" s="2">
        <v>4</v>
      </c>
      <c r="O319" s="2">
        <v>3</v>
      </c>
      <c r="P319" s="2">
        <v>3</v>
      </c>
      <c r="Q319" s="2" t="s">
        <v>24</v>
      </c>
    </row>
    <row r="320" spans="1:17" x14ac:dyDescent="0.25">
      <c r="A320" s="2" t="s">
        <v>799</v>
      </c>
      <c r="B320" s="2">
        <v>33</v>
      </c>
      <c r="C320" s="2" t="s">
        <v>26</v>
      </c>
      <c r="D320" s="2" t="s">
        <v>33</v>
      </c>
      <c r="E320" s="2" t="s">
        <v>28</v>
      </c>
      <c r="F320" s="2" t="s">
        <v>64</v>
      </c>
      <c r="G320" s="2" t="s">
        <v>454</v>
      </c>
      <c r="H320" s="2">
        <v>1</v>
      </c>
      <c r="I320" s="2" t="s">
        <v>23</v>
      </c>
      <c r="J320" s="2">
        <v>5516</v>
      </c>
      <c r="K320" s="2">
        <v>1</v>
      </c>
      <c r="L320" s="2" t="s">
        <v>36</v>
      </c>
      <c r="M320" s="2">
        <v>4</v>
      </c>
      <c r="N320" s="2">
        <v>3</v>
      </c>
      <c r="O320" s="2">
        <v>3</v>
      </c>
      <c r="P320" s="2">
        <v>1</v>
      </c>
      <c r="Q320" s="2" t="s">
        <v>36</v>
      </c>
    </row>
    <row r="321" spans="1:17" x14ac:dyDescent="0.25">
      <c r="A321" s="2" t="s">
        <v>560</v>
      </c>
      <c r="B321" s="2">
        <v>48</v>
      </c>
      <c r="C321" s="2" t="s">
        <v>18</v>
      </c>
      <c r="D321" s="2" t="s">
        <v>19</v>
      </c>
      <c r="E321" s="2" t="s">
        <v>20</v>
      </c>
      <c r="F321" s="2" t="s">
        <v>21</v>
      </c>
      <c r="G321" s="2" t="s">
        <v>658</v>
      </c>
      <c r="H321" s="2">
        <v>8</v>
      </c>
      <c r="I321" s="2" t="s">
        <v>31</v>
      </c>
      <c r="J321" s="2">
        <v>16753</v>
      </c>
      <c r="K321" s="2">
        <v>27</v>
      </c>
      <c r="L321" s="2" t="s">
        <v>36</v>
      </c>
      <c r="M321" s="2">
        <v>2</v>
      </c>
      <c r="N321" s="2">
        <v>1</v>
      </c>
      <c r="O321" s="2">
        <v>3</v>
      </c>
      <c r="P321" s="2">
        <v>1</v>
      </c>
      <c r="Q321" s="2" t="s">
        <v>36</v>
      </c>
    </row>
    <row r="322" spans="1:17" x14ac:dyDescent="0.25">
      <c r="A322" s="2" t="s">
        <v>105</v>
      </c>
      <c r="B322" s="2">
        <v>45</v>
      </c>
      <c r="C322" s="2" t="s">
        <v>26</v>
      </c>
      <c r="D322" s="2" t="s">
        <v>33</v>
      </c>
      <c r="E322" s="2" t="s">
        <v>28</v>
      </c>
      <c r="F322" s="2" t="s">
        <v>34</v>
      </c>
      <c r="G322" s="2" t="s">
        <v>660</v>
      </c>
      <c r="H322" s="2">
        <v>0</v>
      </c>
      <c r="I322" s="2" t="s">
        <v>23</v>
      </c>
      <c r="J322" s="2">
        <v>2029</v>
      </c>
      <c r="K322" s="2">
        <v>8</v>
      </c>
      <c r="L322" s="2" t="s">
        <v>36</v>
      </c>
      <c r="M322" s="2">
        <v>2</v>
      </c>
      <c r="N322" s="2">
        <v>4</v>
      </c>
      <c r="O322" s="2">
        <v>3</v>
      </c>
      <c r="P322" s="2">
        <v>0</v>
      </c>
      <c r="Q322" s="2" t="s">
        <v>36</v>
      </c>
    </row>
    <row r="323" spans="1:17" x14ac:dyDescent="0.25">
      <c r="A323" s="2" t="s">
        <v>1079</v>
      </c>
      <c r="B323" s="2">
        <v>27</v>
      </c>
      <c r="C323" s="2" t="s">
        <v>18</v>
      </c>
      <c r="D323" s="2" t="s">
        <v>33</v>
      </c>
      <c r="E323" s="2" t="s">
        <v>20</v>
      </c>
      <c r="F323" s="2" t="s">
        <v>44</v>
      </c>
      <c r="G323" s="2" t="s">
        <v>662</v>
      </c>
      <c r="H323" s="2">
        <v>14</v>
      </c>
      <c r="I323" s="2" t="s">
        <v>92</v>
      </c>
      <c r="J323" s="2">
        <v>5711</v>
      </c>
      <c r="K323" s="2">
        <v>7</v>
      </c>
      <c r="L323" s="2" t="s">
        <v>24</v>
      </c>
      <c r="M323" s="2">
        <v>4</v>
      </c>
      <c r="N323" s="2">
        <v>3</v>
      </c>
      <c r="O323" s="2">
        <v>3</v>
      </c>
      <c r="P323" s="2">
        <v>2</v>
      </c>
      <c r="Q323" s="2" t="s">
        <v>24</v>
      </c>
    </row>
    <row r="324" spans="1:17" x14ac:dyDescent="0.25">
      <c r="A324" s="2" t="s">
        <v>146</v>
      </c>
      <c r="B324" s="2">
        <v>34</v>
      </c>
      <c r="C324" s="2" t="s">
        <v>26</v>
      </c>
      <c r="D324" s="2" t="s">
        <v>27</v>
      </c>
      <c r="E324" s="2" t="s">
        <v>28</v>
      </c>
      <c r="F324" s="2" t="s">
        <v>59</v>
      </c>
      <c r="G324" s="2" t="s">
        <v>664</v>
      </c>
      <c r="H324" s="2">
        <v>5</v>
      </c>
      <c r="I324" s="2" t="s">
        <v>42</v>
      </c>
      <c r="J324" s="2">
        <v>6035</v>
      </c>
      <c r="K324" s="2">
        <v>3</v>
      </c>
      <c r="L324" s="2" t="s">
        <v>36</v>
      </c>
      <c r="M324" s="2">
        <v>3</v>
      </c>
      <c r="N324" s="2">
        <v>2</v>
      </c>
      <c r="O324" s="2">
        <v>3</v>
      </c>
      <c r="P324" s="2">
        <v>2</v>
      </c>
      <c r="Q324" s="2" t="s">
        <v>24</v>
      </c>
    </row>
    <row r="325" spans="1:17" x14ac:dyDescent="0.25">
      <c r="A325" s="2" t="s">
        <v>688</v>
      </c>
      <c r="B325" s="2">
        <v>42</v>
      </c>
      <c r="C325" s="2" t="s">
        <v>26</v>
      </c>
      <c r="D325" s="2" t="s">
        <v>33</v>
      </c>
      <c r="E325" s="2" t="s">
        <v>20</v>
      </c>
      <c r="F325" s="2" t="s">
        <v>44</v>
      </c>
      <c r="G325" s="2" t="s">
        <v>666</v>
      </c>
      <c r="H325" s="2">
        <v>9</v>
      </c>
      <c r="I325" s="2" t="s">
        <v>31</v>
      </c>
      <c r="J325" s="2">
        <v>5056</v>
      </c>
      <c r="K325" s="2">
        <v>15</v>
      </c>
      <c r="L325" s="2" t="s">
        <v>36</v>
      </c>
      <c r="M325" s="2">
        <v>3</v>
      </c>
      <c r="N325" s="2">
        <v>3</v>
      </c>
      <c r="O325" s="2">
        <v>3</v>
      </c>
      <c r="P325" s="2">
        <v>3</v>
      </c>
      <c r="Q325" s="2" t="s">
        <v>24</v>
      </c>
    </row>
    <row r="326" spans="1:17" x14ac:dyDescent="0.25">
      <c r="A326" s="2" t="s">
        <v>1089</v>
      </c>
      <c r="B326" s="2">
        <v>42</v>
      </c>
      <c r="C326" s="2" t="s">
        <v>26</v>
      </c>
      <c r="D326" s="2" t="s">
        <v>33</v>
      </c>
      <c r="E326" s="2" t="s">
        <v>28</v>
      </c>
      <c r="F326" s="2" t="s">
        <v>59</v>
      </c>
      <c r="G326" s="2" t="s">
        <v>431</v>
      </c>
      <c r="H326" s="2">
        <v>0</v>
      </c>
      <c r="I326" s="2" t="s">
        <v>23</v>
      </c>
      <c r="J326" s="2">
        <v>5308</v>
      </c>
      <c r="K326" s="2">
        <v>22</v>
      </c>
      <c r="L326" s="2" t="s">
        <v>24</v>
      </c>
      <c r="M326" s="2">
        <v>1</v>
      </c>
      <c r="N326" s="2">
        <v>3</v>
      </c>
      <c r="O326" s="2">
        <v>3</v>
      </c>
      <c r="P326" s="2">
        <v>2</v>
      </c>
      <c r="Q326" s="2" t="s">
        <v>24</v>
      </c>
    </row>
    <row r="327" spans="1:17" x14ac:dyDescent="0.25">
      <c r="A327" s="2" t="s">
        <v>1026</v>
      </c>
      <c r="B327" s="2">
        <v>44</v>
      </c>
      <c r="C327" s="2" t="s">
        <v>26</v>
      </c>
      <c r="D327" s="2" t="s">
        <v>19</v>
      </c>
      <c r="E327" s="2" t="s">
        <v>20</v>
      </c>
      <c r="F327" s="2" t="s">
        <v>40</v>
      </c>
      <c r="G327" s="2" t="s">
        <v>669</v>
      </c>
      <c r="H327" s="2">
        <v>4</v>
      </c>
      <c r="I327" s="2" t="s">
        <v>42</v>
      </c>
      <c r="J327" s="2">
        <v>3185</v>
      </c>
      <c r="K327" s="2">
        <v>9</v>
      </c>
      <c r="L327" s="2" t="s">
        <v>36</v>
      </c>
      <c r="M327" s="2">
        <v>2</v>
      </c>
      <c r="N327" s="2">
        <v>3</v>
      </c>
      <c r="O327" s="2">
        <v>3</v>
      </c>
      <c r="P327" s="2">
        <v>5</v>
      </c>
      <c r="Q327" s="2" t="s">
        <v>36</v>
      </c>
    </row>
    <row r="328" spans="1:17" x14ac:dyDescent="0.25">
      <c r="A328" s="2" t="s">
        <v>675</v>
      </c>
      <c r="B328" s="2">
        <v>24</v>
      </c>
      <c r="C328" s="2" t="s">
        <v>26</v>
      </c>
      <c r="D328" s="2" t="s">
        <v>19</v>
      </c>
      <c r="E328" s="2" t="s">
        <v>20</v>
      </c>
      <c r="F328" s="2" t="s">
        <v>21</v>
      </c>
      <c r="G328" s="2" t="s">
        <v>671</v>
      </c>
      <c r="H328" s="2">
        <v>1</v>
      </c>
      <c r="I328" s="2" t="s">
        <v>23</v>
      </c>
      <c r="J328" s="2">
        <v>9382</v>
      </c>
      <c r="K328" s="2">
        <v>26</v>
      </c>
      <c r="L328" s="2" t="s">
        <v>36</v>
      </c>
      <c r="M328" s="2">
        <v>4</v>
      </c>
      <c r="N328" s="2">
        <v>4</v>
      </c>
      <c r="O328" s="2">
        <v>3</v>
      </c>
      <c r="P328" s="2">
        <v>4</v>
      </c>
      <c r="Q328" s="2" t="s">
        <v>36</v>
      </c>
    </row>
    <row r="329" spans="1:17" x14ac:dyDescent="0.25">
      <c r="A329" s="2" t="s">
        <v>643</v>
      </c>
      <c r="B329" s="2">
        <v>38</v>
      </c>
      <c r="C329" s="2" t="s">
        <v>18</v>
      </c>
      <c r="D329" s="2" t="s">
        <v>19</v>
      </c>
      <c r="E329" s="2" t="s">
        <v>28</v>
      </c>
      <c r="F329" s="2" t="s">
        <v>64</v>
      </c>
      <c r="G329" s="2" t="s">
        <v>165</v>
      </c>
      <c r="H329" s="2">
        <v>1</v>
      </c>
      <c r="I329" s="2" t="s">
        <v>23</v>
      </c>
      <c r="J329" s="2">
        <v>5850</v>
      </c>
      <c r="K329" s="2">
        <v>3</v>
      </c>
      <c r="L329" s="2" t="s">
        <v>36</v>
      </c>
      <c r="M329" s="2">
        <v>3</v>
      </c>
      <c r="N329" s="2">
        <v>4</v>
      </c>
      <c r="O329" s="2">
        <v>3</v>
      </c>
      <c r="P329" s="2">
        <v>4</v>
      </c>
      <c r="Q329" s="2" t="s">
        <v>24</v>
      </c>
    </row>
    <row r="330" spans="1:17" x14ac:dyDescent="0.25">
      <c r="A330" s="2" t="s">
        <v>814</v>
      </c>
      <c r="B330" s="2">
        <v>41</v>
      </c>
      <c r="C330" s="2" t="s">
        <v>18</v>
      </c>
      <c r="D330" s="2" t="s">
        <v>33</v>
      </c>
      <c r="E330" s="2" t="s">
        <v>28</v>
      </c>
      <c r="F330" s="2" t="s">
        <v>29</v>
      </c>
      <c r="G330" s="2" t="s">
        <v>674</v>
      </c>
      <c r="H330" s="2">
        <v>9</v>
      </c>
      <c r="I330" s="2" t="s">
        <v>31</v>
      </c>
      <c r="J330" s="2">
        <v>13677</v>
      </c>
      <c r="K330" s="2">
        <v>11</v>
      </c>
      <c r="L330" s="2" t="s">
        <v>24</v>
      </c>
      <c r="M330" s="2">
        <v>2</v>
      </c>
      <c r="N330" s="2">
        <v>3</v>
      </c>
      <c r="O330" s="2">
        <v>3</v>
      </c>
      <c r="P330" s="2">
        <v>1</v>
      </c>
      <c r="Q330" s="2" t="s">
        <v>24</v>
      </c>
    </row>
    <row r="331" spans="1:17" x14ac:dyDescent="0.25">
      <c r="A331" s="2" t="s">
        <v>668</v>
      </c>
      <c r="B331" s="2">
        <v>29</v>
      </c>
      <c r="C331" s="2" t="s">
        <v>18</v>
      </c>
      <c r="D331" s="2" t="s">
        <v>33</v>
      </c>
      <c r="E331" s="2" t="s">
        <v>28</v>
      </c>
      <c r="F331" s="2" t="s">
        <v>64</v>
      </c>
      <c r="G331" s="2" t="s">
        <v>676</v>
      </c>
      <c r="H331" s="2">
        <v>4</v>
      </c>
      <c r="I331" s="2" t="s">
        <v>42</v>
      </c>
      <c r="J331" s="2">
        <v>5692</v>
      </c>
      <c r="K331" s="2">
        <v>4</v>
      </c>
      <c r="L331" s="2" t="s">
        <v>36</v>
      </c>
      <c r="M331" s="2">
        <v>4</v>
      </c>
      <c r="N331" s="2">
        <v>3</v>
      </c>
      <c r="O331" s="2">
        <v>3</v>
      </c>
      <c r="P331" s="2">
        <v>5</v>
      </c>
      <c r="Q331" s="2" t="s">
        <v>24</v>
      </c>
    </row>
    <row r="332" spans="1:17" x14ac:dyDescent="0.25">
      <c r="A332" s="2" t="s">
        <v>432</v>
      </c>
      <c r="B332" s="2">
        <v>35</v>
      </c>
      <c r="C332" s="2" t="s">
        <v>18</v>
      </c>
      <c r="D332" s="2" t="s">
        <v>19</v>
      </c>
      <c r="E332" s="2" t="s">
        <v>28</v>
      </c>
      <c r="F332" s="2" t="s">
        <v>64</v>
      </c>
      <c r="G332" s="2" t="s">
        <v>322</v>
      </c>
      <c r="H332" s="2">
        <v>4</v>
      </c>
      <c r="I332" s="2" t="s">
        <v>42</v>
      </c>
      <c r="J332" s="2">
        <v>6137</v>
      </c>
      <c r="K332" s="2">
        <v>1</v>
      </c>
      <c r="L332" s="2" t="s">
        <v>24</v>
      </c>
      <c r="M332" s="2">
        <v>4</v>
      </c>
      <c r="N332" s="2">
        <v>1</v>
      </c>
      <c r="O332" s="2">
        <v>3</v>
      </c>
      <c r="P332" s="2">
        <v>3</v>
      </c>
      <c r="Q332" s="2" t="s">
        <v>24</v>
      </c>
    </row>
    <row r="333" spans="1:17" x14ac:dyDescent="0.25">
      <c r="A333" s="2" t="s">
        <v>254</v>
      </c>
      <c r="B333" s="2">
        <v>23</v>
      </c>
      <c r="C333" s="2" t="s">
        <v>26</v>
      </c>
      <c r="D333" s="2" t="s">
        <v>33</v>
      </c>
      <c r="E333" s="2" t="s">
        <v>28</v>
      </c>
      <c r="F333" s="2" t="s">
        <v>34</v>
      </c>
      <c r="G333" s="2" t="s">
        <v>679</v>
      </c>
      <c r="H333" s="2">
        <v>6</v>
      </c>
      <c r="I333" s="2" t="s">
        <v>31</v>
      </c>
      <c r="J333" s="2">
        <v>3275</v>
      </c>
      <c r="K333" s="2">
        <v>4</v>
      </c>
      <c r="L333" s="2" t="s">
        <v>24</v>
      </c>
      <c r="M333" s="2">
        <v>4</v>
      </c>
      <c r="N333" s="2">
        <v>3</v>
      </c>
      <c r="O333" s="2">
        <v>3</v>
      </c>
      <c r="P333" s="2">
        <v>0</v>
      </c>
      <c r="Q333" s="2" t="s">
        <v>24</v>
      </c>
    </row>
    <row r="334" spans="1:17" x14ac:dyDescent="0.25">
      <c r="A334" s="2" t="s">
        <v>1010</v>
      </c>
      <c r="B334" s="2">
        <v>47</v>
      </c>
      <c r="C334" s="2" t="s">
        <v>26</v>
      </c>
      <c r="D334" s="2" t="s">
        <v>19</v>
      </c>
      <c r="E334" s="2" t="s">
        <v>20</v>
      </c>
      <c r="F334" s="2" t="s">
        <v>44</v>
      </c>
      <c r="G334" s="2" t="s">
        <v>681</v>
      </c>
      <c r="H334" s="2">
        <v>8</v>
      </c>
      <c r="I334" s="2" t="s">
        <v>31</v>
      </c>
      <c r="J334" s="2">
        <v>6049</v>
      </c>
      <c r="K334" s="2">
        <v>15</v>
      </c>
      <c r="L334" s="2" t="s">
        <v>24</v>
      </c>
      <c r="M334" s="2">
        <v>2</v>
      </c>
      <c r="N334" s="2">
        <v>2</v>
      </c>
      <c r="O334" s="2">
        <v>3</v>
      </c>
      <c r="P334" s="2">
        <v>1</v>
      </c>
      <c r="Q334" s="2" t="s">
        <v>24</v>
      </c>
    </row>
    <row r="335" spans="1:17" x14ac:dyDescent="0.25">
      <c r="A335" s="2" t="s">
        <v>323</v>
      </c>
      <c r="B335" s="2">
        <v>20</v>
      </c>
      <c r="C335" s="2" t="s">
        <v>26</v>
      </c>
      <c r="D335" s="2" t="s">
        <v>33</v>
      </c>
      <c r="E335" s="2" t="s">
        <v>28</v>
      </c>
      <c r="F335" s="2" t="s">
        <v>59</v>
      </c>
      <c r="G335" s="2" t="s">
        <v>683</v>
      </c>
      <c r="H335" s="2">
        <v>2</v>
      </c>
      <c r="I335" s="2" t="s">
        <v>23</v>
      </c>
      <c r="J335" s="2">
        <v>4372</v>
      </c>
      <c r="K335" s="2">
        <v>5</v>
      </c>
      <c r="L335" s="2" t="s">
        <v>24</v>
      </c>
      <c r="M335" s="2">
        <v>2</v>
      </c>
      <c r="N335" s="2">
        <v>1</v>
      </c>
      <c r="O335" s="2">
        <v>3</v>
      </c>
      <c r="P335" s="2">
        <v>4</v>
      </c>
      <c r="Q335" s="2" t="s">
        <v>36</v>
      </c>
    </row>
    <row r="336" spans="1:17" x14ac:dyDescent="0.25">
      <c r="A336" s="2" t="s">
        <v>307</v>
      </c>
      <c r="B336" s="2">
        <v>37</v>
      </c>
      <c r="C336" s="2" t="s">
        <v>26</v>
      </c>
      <c r="D336" s="2" t="s">
        <v>27</v>
      </c>
      <c r="E336" s="2" t="s">
        <v>110</v>
      </c>
      <c r="F336" s="2" t="s">
        <v>189</v>
      </c>
      <c r="G336" s="2" t="s">
        <v>685</v>
      </c>
      <c r="H336" s="2">
        <v>12</v>
      </c>
      <c r="I336" s="2" t="s">
        <v>92</v>
      </c>
      <c r="J336" s="2">
        <v>4864</v>
      </c>
      <c r="K336" s="2">
        <v>22</v>
      </c>
      <c r="L336" s="2" t="s">
        <v>36</v>
      </c>
      <c r="M336" s="2">
        <v>4</v>
      </c>
      <c r="N336" s="2">
        <v>3</v>
      </c>
      <c r="O336" s="2">
        <v>3</v>
      </c>
      <c r="P336" s="2">
        <v>0</v>
      </c>
      <c r="Q336" s="2" t="s">
        <v>24</v>
      </c>
    </row>
    <row r="337" spans="1:17" x14ac:dyDescent="0.25">
      <c r="A337" s="2" t="s">
        <v>193</v>
      </c>
      <c r="B337" s="2">
        <v>34</v>
      </c>
      <c r="C337" s="2" t="s">
        <v>26</v>
      </c>
      <c r="D337" s="2" t="s">
        <v>27</v>
      </c>
      <c r="E337" s="2" t="s">
        <v>28</v>
      </c>
      <c r="F337" s="2" t="s">
        <v>29</v>
      </c>
      <c r="G337" s="2" t="s">
        <v>687</v>
      </c>
      <c r="H337" s="2">
        <v>3</v>
      </c>
      <c r="I337" s="2" t="s">
        <v>42</v>
      </c>
      <c r="J337" s="2">
        <v>14080</v>
      </c>
      <c r="K337" s="2">
        <v>7</v>
      </c>
      <c r="L337" s="2" t="s">
        <v>24</v>
      </c>
      <c r="M337" s="2">
        <v>2</v>
      </c>
      <c r="N337" s="2">
        <v>3</v>
      </c>
      <c r="O337" s="2">
        <v>3</v>
      </c>
      <c r="P337" s="2">
        <v>5</v>
      </c>
      <c r="Q337" s="2" t="s">
        <v>24</v>
      </c>
    </row>
    <row r="338" spans="1:17" x14ac:dyDescent="0.25">
      <c r="A338" s="2" t="s">
        <v>513</v>
      </c>
      <c r="B338" s="2">
        <v>38</v>
      </c>
      <c r="C338" s="2" t="s">
        <v>26</v>
      </c>
      <c r="D338" s="2" t="s">
        <v>19</v>
      </c>
      <c r="E338" s="2" t="s">
        <v>20</v>
      </c>
      <c r="F338" s="2" t="s">
        <v>44</v>
      </c>
      <c r="G338" s="2" t="s">
        <v>689</v>
      </c>
      <c r="H338" s="2">
        <v>3</v>
      </c>
      <c r="I338" s="2" t="s">
        <v>42</v>
      </c>
      <c r="J338" s="2">
        <v>8676</v>
      </c>
      <c r="K338" s="2">
        <v>2</v>
      </c>
      <c r="L338" s="2" t="s">
        <v>24</v>
      </c>
      <c r="M338" s="2">
        <v>4</v>
      </c>
      <c r="N338" s="2">
        <v>3</v>
      </c>
      <c r="O338" s="2">
        <v>3</v>
      </c>
      <c r="P338" s="2">
        <v>2</v>
      </c>
      <c r="Q338" s="2" t="s">
        <v>24</v>
      </c>
    </row>
    <row r="339" spans="1:17" x14ac:dyDescent="0.25">
      <c r="A339" s="2" t="s">
        <v>816</v>
      </c>
      <c r="B339" s="2">
        <v>32</v>
      </c>
      <c r="C339" s="2" t="s">
        <v>26</v>
      </c>
      <c r="D339" s="2" t="s">
        <v>27</v>
      </c>
      <c r="E339" s="2" t="s">
        <v>20</v>
      </c>
      <c r="F339" s="2" t="s">
        <v>40</v>
      </c>
      <c r="G339" s="2" t="s">
        <v>691</v>
      </c>
      <c r="H339" s="2">
        <v>0</v>
      </c>
      <c r="I339" s="2" t="s">
        <v>23</v>
      </c>
      <c r="J339" s="2">
        <v>3813</v>
      </c>
      <c r="K339" s="2">
        <v>10</v>
      </c>
      <c r="L339" s="2" t="s">
        <v>24</v>
      </c>
      <c r="M339" s="2">
        <v>4</v>
      </c>
      <c r="N339" s="2">
        <v>3</v>
      </c>
      <c r="O339" s="2">
        <v>3</v>
      </c>
      <c r="P339" s="2">
        <v>3</v>
      </c>
      <c r="Q339" s="2" t="s">
        <v>24</v>
      </c>
    </row>
    <row r="340" spans="1:17" x14ac:dyDescent="0.25">
      <c r="A340" s="2" t="s">
        <v>736</v>
      </c>
      <c r="B340" s="2">
        <v>29</v>
      </c>
      <c r="C340" s="2" t="s">
        <v>18</v>
      </c>
      <c r="D340" s="2" t="s">
        <v>33</v>
      </c>
      <c r="E340" s="2" t="s">
        <v>110</v>
      </c>
      <c r="F340" s="2" t="s">
        <v>128</v>
      </c>
      <c r="G340" s="2" t="s">
        <v>161</v>
      </c>
      <c r="H340" s="2">
        <v>0</v>
      </c>
      <c r="I340" s="2" t="s">
        <v>23</v>
      </c>
      <c r="J340" s="2">
        <v>11520</v>
      </c>
      <c r="K340" s="2">
        <v>1</v>
      </c>
      <c r="L340" s="2" t="s">
        <v>36</v>
      </c>
      <c r="M340" s="2">
        <v>4</v>
      </c>
      <c r="N340" s="2">
        <v>3</v>
      </c>
      <c r="O340" s="2">
        <v>3</v>
      </c>
      <c r="P340" s="2">
        <v>3</v>
      </c>
      <c r="Q340" s="2" t="s">
        <v>24</v>
      </c>
    </row>
    <row r="341" spans="1:17" x14ac:dyDescent="0.25">
      <c r="A341" s="2" t="s">
        <v>876</v>
      </c>
      <c r="B341" s="2">
        <v>20</v>
      </c>
      <c r="C341" s="2" t="s">
        <v>26</v>
      </c>
      <c r="D341" s="2" t="s">
        <v>33</v>
      </c>
      <c r="E341" s="2" t="s">
        <v>28</v>
      </c>
      <c r="F341" s="2" t="s">
        <v>34</v>
      </c>
      <c r="G341" s="2" t="s">
        <v>694</v>
      </c>
      <c r="H341" s="2">
        <v>1</v>
      </c>
      <c r="I341" s="2" t="s">
        <v>23</v>
      </c>
      <c r="J341" s="2">
        <v>3063</v>
      </c>
      <c r="K341" s="2">
        <v>3</v>
      </c>
      <c r="L341" s="2" t="s">
        <v>24</v>
      </c>
      <c r="M341" s="2">
        <v>1</v>
      </c>
      <c r="N341" s="2">
        <v>4</v>
      </c>
      <c r="O341" s="2">
        <v>3</v>
      </c>
      <c r="P341" s="2">
        <v>3</v>
      </c>
      <c r="Q341" s="2" t="s">
        <v>24</v>
      </c>
    </row>
    <row r="342" spans="1:17" x14ac:dyDescent="0.25">
      <c r="A342" s="2" t="s">
        <v>140</v>
      </c>
      <c r="B342" s="2">
        <v>43</v>
      </c>
      <c r="C342" s="2" t="s">
        <v>26</v>
      </c>
      <c r="D342" s="2" t="s">
        <v>19</v>
      </c>
      <c r="E342" s="2" t="s">
        <v>110</v>
      </c>
      <c r="F342" s="2" t="s">
        <v>128</v>
      </c>
      <c r="G342" s="2" t="s">
        <v>696</v>
      </c>
      <c r="H342" s="2">
        <v>1</v>
      </c>
      <c r="I342" s="2" t="s">
        <v>23</v>
      </c>
      <c r="J342" s="2">
        <v>8288</v>
      </c>
      <c r="K342" s="2">
        <v>1</v>
      </c>
      <c r="L342" s="2" t="s">
        <v>36</v>
      </c>
      <c r="M342" s="2">
        <v>4</v>
      </c>
      <c r="N342" s="2">
        <v>2</v>
      </c>
      <c r="O342" s="2">
        <v>4</v>
      </c>
      <c r="P342" s="2">
        <v>4</v>
      </c>
      <c r="Q342" s="2" t="s">
        <v>24</v>
      </c>
    </row>
    <row r="343" spans="1:17" x14ac:dyDescent="0.25">
      <c r="A343" s="2" t="s">
        <v>859</v>
      </c>
      <c r="B343" s="2">
        <v>46</v>
      </c>
      <c r="C343" s="2" t="s">
        <v>26</v>
      </c>
      <c r="D343" s="2" t="s">
        <v>27</v>
      </c>
      <c r="E343" s="2" t="s">
        <v>28</v>
      </c>
      <c r="F343" s="2" t="s">
        <v>64</v>
      </c>
      <c r="G343" s="2" t="s">
        <v>698</v>
      </c>
      <c r="H343" s="2">
        <v>3</v>
      </c>
      <c r="I343" s="2" t="s">
        <v>42</v>
      </c>
      <c r="J343" s="2">
        <v>5431</v>
      </c>
      <c r="K343" s="2">
        <v>5</v>
      </c>
      <c r="L343" s="2" t="s">
        <v>24</v>
      </c>
      <c r="M343" s="2">
        <v>4</v>
      </c>
      <c r="N343" s="2">
        <v>3</v>
      </c>
      <c r="O343" s="2">
        <v>3</v>
      </c>
      <c r="P343" s="2">
        <v>3</v>
      </c>
      <c r="Q343" s="2" t="s">
        <v>24</v>
      </c>
    </row>
    <row r="344" spans="1:17" x14ac:dyDescent="0.25">
      <c r="A344" s="2" t="s">
        <v>1077</v>
      </c>
      <c r="B344" s="2">
        <v>31</v>
      </c>
      <c r="C344" s="2" t="s">
        <v>26</v>
      </c>
      <c r="D344" s="2" t="s">
        <v>33</v>
      </c>
      <c r="E344" s="2" t="s">
        <v>28</v>
      </c>
      <c r="F344" s="2" t="s">
        <v>59</v>
      </c>
      <c r="G344" s="2" t="s">
        <v>700</v>
      </c>
      <c r="H344" s="2">
        <v>2</v>
      </c>
      <c r="I344" s="2" t="s">
        <v>23</v>
      </c>
      <c r="J344" s="2">
        <v>4347</v>
      </c>
      <c r="K344" s="2">
        <v>4</v>
      </c>
      <c r="L344" s="2" t="s">
        <v>36</v>
      </c>
      <c r="M344" s="2">
        <v>4</v>
      </c>
      <c r="N344" s="2">
        <v>2</v>
      </c>
      <c r="O344" s="2">
        <v>3</v>
      </c>
      <c r="P344" s="2">
        <v>0</v>
      </c>
      <c r="Q344" s="2" t="s">
        <v>36</v>
      </c>
    </row>
    <row r="345" spans="1:17" x14ac:dyDescent="0.25">
      <c r="A345" s="2" t="s">
        <v>500</v>
      </c>
      <c r="B345" s="2">
        <v>31</v>
      </c>
      <c r="C345" s="2" t="s">
        <v>26</v>
      </c>
      <c r="D345" s="2" t="s">
        <v>19</v>
      </c>
      <c r="E345" s="2" t="s">
        <v>28</v>
      </c>
      <c r="F345" s="2" t="s">
        <v>59</v>
      </c>
      <c r="G345" s="2" t="s">
        <v>702</v>
      </c>
      <c r="H345" s="2">
        <v>2</v>
      </c>
      <c r="I345" s="2" t="s">
        <v>23</v>
      </c>
      <c r="J345" s="2">
        <v>6392</v>
      </c>
      <c r="K345" s="2">
        <v>25</v>
      </c>
      <c r="L345" s="2" t="s">
        <v>36</v>
      </c>
      <c r="M345" s="2">
        <v>4</v>
      </c>
      <c r="N345" s="2">
        <v>2</v>
      </c>
      <c r="O345" s="2">
        <v>3</v>
      </c>
      <c r="P345" s="2">
        <v>5</v>
      </c>
      <c r="Q345" s="2" t="s">
        <v>36</v>
      </c>
    </row>
    <row r="346" spans="1:17" x14ac:dyDescent="0.25">
      <c r="A346" s="2" t="s">
        <v>809</v>
      </c>
      <c r="B346" s="2">
        <v>37</v>
      </c>
      <c r="C346" s="2" t="s">
        <v>18</v>
      </c>
      <c r="D346" s="2" t="s">
        <v>19</v>
      </c>
      <c r="E346" s="2" t="s">
        <v>20</v>
      </c>
      <c r="F346" s="2" t="s">
        <v>40</v>
      </c>
      <c r="G346" s="2" t="s">
        <v>449</v>
      </c>
      <c r="H346" s="2">
        <v>0</v>
      </c>
      <c r="I346" s="2" t="s">
        <v>23</v>
      </c>
      <c r="J346" s="2">
        <v>4706</v>
      </c>
      <c r="K346" s="2">
        <v>8</v>
      </c>
      <c r="L346" s="2" t="s">
        <v>24</v>
      </c>
      <c r="M346" s="2">
        <v>2</v>
      </c>
      <c r="N346" s="2">
        <v>4</v>
      </c>
      <c r="O346" s="2">
        <v>4</v>
      </c>
      <c r="P346" s="2">
        <v>1</v>
      </c>
      <c r="Q346" s="2" t="s">
        <v>36</v>
      </c>
    </row>
    <row r="347" spans="1:17" x14ac:dyDescent="0.25">
      <c r="A347" s="2" t="s">
        <v>589</v>
      </c>
      <c r="B347" s="2">
        <v>36</v>
      </c>
      <c r="C347" s="2" t="s">
        <v>26</v>
      </c>
      <c r="D347" s="2" t="s">
        <v>27</v>
      </c>
      <c r="E347" s="2" t="s">
        <v>28</v>
      </c>
      <c r="F347" s="2" t="s">
        <v>64</v>
      </c>
      <c r="G347" s="2" t="s">
        <v>705</v>
      </c>
      <c r="H347" s="2">
        <v>2</v>
      </c>
      <c r="I347" s="2" t="s">
        <v>23</v>
      </c>
      <c r="J347" s="2">
        <v>3741</v>
      </c>
      <c r="K347" s="2">
        <v>21</v>
      </c>
      <c r="L347" s="2" t="s">
        <v>24</v>
      </c>
      <c r="M347" s="2">
        <v>4</v>
      </c>
      <c r="N347" s="2">
        <v>4</v>
      </c>
      <c r="O347" s="2">
        <v>3</v>
      </c>
      <c r="P347" s="2">
        <v>2</v>
      </c>
      <c r="Q347" s="2" t="s">
        <v>24</v>
      </c>
    </row>
    <row r="348" spans="1:17" x14ac:dyDescent="0.25">
      <c r="A348" s="2" t="s">
        <v>418</v>
      </c>
      <c r="B348" s="2">
        <v>26</v>
      </c>
      <c r="C348" s="2" t="s">
        <v>26</v>
      </c>
      <c r="D348" s="2" t="s">
        <v>33</v>
      </c>
      <c r="E348" s="2" t="s">
        <v>28</v>
      </c>
      <c r="F348" s="2" t="s">
        <v>29</v>
      </c>
      <c r="G348" s="2" t="s">
        <v>707</v>
      </c>
      <c r="H348" s="2">
        <v>3</v>
      </c>
      <c r="I348" s="2" t="s">
        <v>42</v>
      </c>
      <c r="J348" s="2">
        <v>12435</v>
      </c>
      <c r="K348" s="2">
        <v>25</v>
      </c>
      <c r="L348" s="2" t="s">
        <v>24</v>
      </c>
      <c r="M348" s="2">
        <v>2</v>
      </c>
      <c r="N348" s="2">
        <v>3</v>
      </c>
      <c r="O348" s="2">
        <v>3</v>
      </c>
      <c r="P348" s="2">
        <v>3</v>
      </c>
      <c r="Q348" s="2" t="s">
        <v>24</v>
      </c>
    </row>
    <row r="349" spans="1:17" x14ac:dyDescent="0.25">
      <c r="A349" s="2" t="s">
        <v>932</v>
      </c>
      <c r="B349" s="2">
        <v>27</v>
      </c>
      <c r="C349" s="2" t="s">
        <v>26</v>
      </c>
      <c r="D349" s="2" t="s">
        <v>27</v>
      </c>
      <c r="E349" s="2" t="s">
        <v>20</v>
      </c>
      <c r="F349" s="2" t="s">
        <v>40</v>
      </c>
      <c r="G349" s="2" t="s">
        <v>709</v>
      </c>
      <c r="H349" s="2">
        <v>9</v>
      </c>
      <c r="I349" s="2" t="s">
        <v>31</v>
      </c>
      <c r="J349" s="2">
        <v>4384</v>
      </c>
      <c r="K349" s="2">
        <v>18</v>
      </c>
      <c r="L349" s="2" t="s">
        <v>36</v>
      </c>
      <c r="M349" s="2">
        <v>3</v>
      </c>
      <c r="N349" s="2">
        <v>2</v>
      </c>
      <c r="O349" s="2">
        <v>4</v>
      </c>
      <c r="P349" s="2">
        <v>5</v>
      </c>
      <c r="Q349" s="2" t="s">
        <v>24</v>
      </c>
    </row>
    <row r="350" spans="1:17" x14ac:dyDescent="0.25">
      <c r="A350" s="2" t="s">
        <v>1028</v>
      </c>
      <c r="B350" s="2">
        <v>43</v>
      </c>
      <c r="C350" s="2" t="s">
        <v>26</v>
      </c>
      <c r="D350" s="2" t="s">
        <v>19</v>
      </c>
      <c r="E350" s="2" t="s">
        <v>28</v>
      </c>
      <c r="F350" s="2" t="s">
        <v>29</v>
      </c>
      <c r="G350" s="2" t="s">
        <v>711</v>
      </c>
      <c r="H350" s="2">
        <v>0</v>
      </c>
      <c r="I350" s="2" t="s">
        <v>23</v>
      </c>
      <c r="J350" s="2">
        <v>11093</v>
      </c>
      <c r="K350" s="2">
        <v>1</v>
      </c>
      <c r="L350" s="2" t="s">
        <v>24</v>
      </c>
      <c r="M350" s="2">
        <v>2</v>
      </c>
      <c r="N350" s="2">
        <v>3</v>
      </c>
      <c r="O350" s="2">
        <v>3</v>
      </c>
      <c r="P350" s="2">
        <v>5</v>
      </c>
      <c r="Q350" s="2" t="s">
        <v>36</v>
      </c>
    </row>
    <row r="351" spans="1:17" x14ac:dyDescent="0.25">
      <c r="A351" s="2" t="s">
        <v>535</v>
      </c>
      <c r="B351" s="2">
        <v>39</v>
      </c>
      <c r="C351" s="2" t="s">
        <v>18</v>
      </c>
      <c r="D351" s="2" t="s">
        <v>33</v>
      </c>
      <c r="E351" s="2" t="s">
        <v>110</v>
      </c>
      <c r="F351" s="2" t="s">
        <v>111</v>
      </c>
      <c r="G351" s="2" t="s">
        <v>713</v>
      </c>
      <c r="H351" s="2">
        <v>2</v>
      </c>
      <c r="I351" s="2" t="s">
        <v>23</v>
      </c>
      <c r="J351" s="2">
        <v>4121</v>
      </c>
      <c r="K351" s="2">
        <v>1</v>
      </c>
      <c r="L351" s="2" t="s">
        <v>24</v>
      </c>
      <c r="M351" s="2">
        <v>1</v>
      </c>
      <c r="N351" s="2">
        <v>3</v>
      </c>
      <c r="O351" s="2">
        <v>3</v>
      </c>
      <c r="P351" s="2">
        <v>1</v>
      </c>
      <c r="Q351" s="2" t="s">
        <v>24</v>
      </c>
    </row>
    <row r="352" spans="1:17" x14ac:dyDescent="0.25">
      <c r="A352" s="2" t="s">
        <v>886</v>
      </c>
      <c r="B352" s="2">
        <v>37</v>
      </c>
      <c r="C352" s="2" t="s">
        <v>26</v>
      </c>
      <c r="D352" s="2" t="s">
        <v>33</v>
      </c>
      <c r="E352" s="2" t="s">
        <v>28</v>
      </c>
      <c r="F352" s="2" t="s">
        <v>59</v>
      </c>
      <c r="G352" s="2" t="s">
        <v>715</v>
      </c>
      <c r="H352" s="2">
        <v>1</v>
      </c>
      <c r="I352" s="2" t="s">
        <v>23</v>
      </c>
      <c r="J352" s="2">
        <v>6546</v>
      </c>
      <c r="K352" s="2">
        <v>2</v>
      </c>
      <c r="L352" s="2" t="s">
        <v>24</v>
      </c>
      <c r="M352" s="2">
        <v>3</v>
      </c>
      <c r="N352" s="2">
        <v>2</v>
      </c>
      <c r="O352" s="2">
        <v>4</v>
      </c>
      <c r="P352" s="2">
        <v>1</v>
      </c>
      <c r="Q352" s="2" t="s">
        <v>24</v>
      </c>
    </row>
    <row r="353" spans="1:17" x14ac:dyDescent="0.25">
      <c r="A353" s="2" t="s">
        <v>215</v>
      </c>
      <c r="B353" s="2">
        <v>22</v>
      </c>
      <c r="C353" s="2" t="s">
        <v>18</v>
      </c>
      <c r="D353" s="2" t="s">
        <v>33</v>
      </c>
      <c r="E353" s="2" t="s">
        <v>28</v>
      </c>
      <c r="F353" s="2" t="s">
        <v>34</v>
      </c>
      <c r="G353" s="2" t="s">
        <v>696</v>
      </c>
      <c r="H353" s="2">
        <v>1</v>
      </c>
      <c r="I353" s="2" t="s">
        <v>23</v>
      </c>
      <c r="J353" s="2">
        <v>3503</v>
      </c>
      <c r="K353" s="2">
        <v>5</v>
      </c>
      <c r="L353" s="2" t="s">
        <v>36</v>
      </c>
      <c r="M353" s="2">
        <v>4</v>
      </c>
      <c r="N353" s="2">
        <v>2</v>
      </c>
      <c r="O353" s="2">
        <v>3</v>
      </c>
      <c r="P353" s="2">
        <v>4</v>
      </c>
      <c r="Q353" s="2" t="s">
        <v>36</v>
      </c>
    </row>
    <row r="354" spans="1:17" x14ac:dyDescent="0.25">
      <c r="A354" s="2" t="s">
        <v>99</v>
      </c>
      <c r="B354" s="2">
        <v>26</v>
      </c>
      <c r="C354" s="2" t="s">
        <v>18</v>
      </c>
      <c r="D354" s="2" t="s">
        <v>33</v>
      </c>
      <c r="E354" s="2" t="s">
        <v>20</v>
      </c>
      <c r="F354" s="2" t="s">
        <v>44</v>
      </c>
      <c r="G354" s="2" t="s">
        <v>718</v>
      </c>
      <c r="H354" s="2">
        <v>2</v>
      </c>
      <c r="I354" s="2" t="s">
        <v>23</v>
      </c>
      <c r="J354" s="2">
        <v>6380</v>
      </c>
      <c r="K354" s="2">
        <v>10</v>
      </c>
      <c r="L354" s="2" t="s">
        <v>24</v>
      </c>
      <c r="M354" s="2">
        <v>4</v>
      </c>
      <c r="N354" s="2">
        <v>3</v>
      </c>
      <c r="O354" s="2">
        <v>3</v>
      </c>
      <c r="P354" s="2">
        <v>5</v>
      </c>
      <c r="Q354" s="2" t="s">
        <v>24</v>
      </c>
    </row>
    <row r="355" spans="1:17" x14ac:dyDescent="0.25">
      <c r="A355" s="2" t="s">
        <v>531</v>
      </c>
      <c r="B355" s="2">
        <v>34</v>
      </c>
      <c r="C355" s="2" t="s">
        <v>26</v>
      </c>
      <c r="D355" s="2" t="s">
        <v>27</v>
      </c>
      <c r="E355" s="2" t="s">
        <v>28</v>
      </c>
      <c r="F355" s="2" t="s">
        <v>29</v>
      </c>
      <c r="G355" s="2" t="s">
        <v>720</v>
      </c>
      <c r="H355" s="2">
        <v>0</v>
      </c>
      <c r="I355" s="2" t="s">
        <v>23</v>
      </c>
      <c r="J355" s="2">
        <v>13354</v>
      </c>
      <c r="K355" s="2">
        <v>8</v>
      </c>
      <c r="L355" s="2" t="s">
        <v>36</v>
      </c>
      <c r="M355" s="2">
        <v>4</v>
      </c>
      <c r="N355" s="2">
        <v>2</v>
      </c>
      <c r="O355" s="2">
        <v>4</v>
      </c>
      <c r="P355" s="2">
        <v>2</v>
      </c>
      <c r="Q355" s="2" t="s">
        <v>24</v>
      </c>
    </row>
    <row r="356" spans="1:17" x14ac:dyDescent="0.25">
      <c r="A356" s="2" t="s">
        <v>361</v>
      </c>
      <c r="B356" s="2">
        <v>29</v>
      </c>
      <c r="C356" s="2" t="s">
        <v>18</v>
      </c>
      <c r="D356" s="2" t="s">
        <v>19</v>
      </c>
      <c r="E356" s="2" t="s">
        <v>28</v>
      </c>
      <c r="F356" s="2" t="s">
        <v>64</v>
      </c>
      <c r="G356" s="2" t="s">
        <v>722</v>
      </c>
      <c r="H356" s="2">
        <v>0</v>
      </c>
      <c r="I356" s="2" t="s">
        <v>23</v>
      </c>
      <c r="J356" s="2">
        <v>4564</v>
      </c>
      <c r="K356" s="2">
        <v>22</v>
      </c>
      <c r="L356" s="2" t="s">
        <v>24</v>
      </c>
      <c r="M356" s="2">
        <v>3</v>
      </c>
      <c r="N356" s="2">
        <v>3</v>
      </c>
      <c r="O356" s="2">
        <v>3</v>
      </c>
      <c r="P356" s="2">
        <v>3</v>
      </c>
      <c r="Q356" s="2" t="s">
        <v>36</v>
      </c>
    </row>
    <row r="357" spans="1:17" x14ac:dyDescent="0.25">
      <c r="A357" s="2" t="s">
        <v>250</v>
      </c>
      <c r="B357" s="2">
        <v>52</v>
      </c>
      <c r="C357" s="2" t="s">
        <v>26</v>
      </c>
      <c r="D357" s="2" t="s">
        <v>19</v>
      </c>
      <c r="E357" s="2" t="s">
        <v>28</v>
      </c>
      <c r="F357" s="2" t="s">
        <v>64</v>
      </c>
      <c r="G357" s="2" t="s">
        <v>724</v>
      </c>
      <c r="H357" s="2">
        <v>0</v>
      </c>
      <c r="I357" s="2" t="s">
        <v>23</v>
      </c>
      <c r="J357" s="2">
        <v>4315</v>
      </c>
      <c r="K357" s="2">
        <v>21</v>
      </c>
      <c r="L357" s="2" t="s">
        <v>24</v>
      </c>
      <c r="M357" s="2">
        <v>3</v>
      </c>
      <c r="N357" s="2">
        <v>2</v>
      </c>
      <c r="O357" s="2">
        <v>3</v>
      </c>
      <c r="P357" s="2">
        <v>2</v>
      </c>
      <c r="Q357" s="2" t="s">
        <v>24</v>
      </c>
    </row>
    <row r="358" spans="1:17" x14ac:dyDescent="0.25">
      <c r="A358" s="2" t="s">
        <v>450</v>
      </c>
      <c r="B358" s="2">
        <v>48</v>
      </c>
      <c r="C358" s="2" t="s">
        <v>18</v>
      </c>
      <c r="D358" s="2" t="s">
        <v>33</v>
      </c>
      <c r="E358" s="2" t="s">
        <v>20</v>
      </c>
      <c r="F358" s="2" t="s">
        <v>21</v>
      </c>
      <c r="G358" s="2" t="s">
        <v>726</v>
      </c>
      <c r="H358" s="2">
        <v>13</v>
      </c>
      <c r="I358" s="2" t="s">
        <v>92</v>
      </c>
      <c r="J358" s="2">
        <v>10454</v>
      </c>
      <c r="K358" s="2">
        <v>1</v>
      </c>
      <c r="L358" s="2" t="s">
        <v>36</v>
      </c>
      <c r="M358" s="2">
        <v>3</v>
      </c>
      <c r="N358" s="2">
        <v>2</v>
      </c>
      <c r="O358" s="2">
        <v>3</v>
      </c>
      <c r="P358" s="2">
        <v>0</v>
      </c>
      <c r="Q358" s="2" t="s">
        <v>36</v>
      </c>
    </row>
    <row r="359" spans="1:17" x14ac:dyDescent="0.25">
      <c r="A359" s="2" t="s">
        <v>221</v>
      </c>
      <c r="B359" s="2">
        <v>43</v>
      </c>
      <c r="C359" s="2" t="s">
        <v>26</v>
      </c>
      <c r="D359" s="2" t="s">
        <v>33</v>
      </c>
      <c r="E359" s="2" t="s">
        <v>20</v>
      </c>
      <c r="F359" s="2" t="s">
        <v>21</v>
      </c>
      <c r="G359" s="2" t="s">
        <v>728</v>
      </c>
      <c r="H359" s="2">
        <v>6</v>
      </c>
      <c r="I359" s="2" t="s">
        <v>31</v>
      </c>
      <c r="J359" s="2">
        <v>12473</v>
      </c>
      <c r="K359" s="2">
        <v>2</v>
      </c>
      <c r="L359" s="2" t="s">
        <v>24</v>
      </c>
      <c r="M359" s="2">
        <v>2</v>
      </c>
      <c r="N359" s="2">
        <v>4</v>
      </c>
      <c r="O359" s="2">
        <v>3</v>
      </c>
      <c r="P359" s="2">
        <v>5</v>
      </c>
      <c r="Q359" s="2" t="s">
        <v>24</v>
      </c>
    </row>
    <row r="360" spans="1:17" x14ac:dyDescent="0.25">
      <c r="A360" s="2" t="s">
        <v>627</v>
      </c>
      <c r="B360" s="2">
        <v>34</v>
      </c>
      <c r="C360" s="2" t="s">
        <v>26</v>
      </c>
      <c r="D360" s="2" t="s">
        <v>27</v>
      </c>
      <c r="E360" s="2" t="s">
        <v>20</v>
      </c>
      <c r="F360" s="2" t="s">
        <v>44</v>
      </c>
      <c r="G360" s="2" t="s">
        <v>630</v>
      </c>
      <c r="H360" s="2">
        <v>0</v>
      </c>
      <c r="I360" s="2" t="s">
        <v>23</v>
      </c>
      <c r="J360" s="2">
        <v>4615</v>
      </c>
      <c r="K360" s="2">
        <v>6</v>
      </c>
      <c r="L360" s="2" t="s">
        <v>36</v>
      </c>
      <c r="M360" s="2">
        <v>1</v>
      </c>
      <c r="N360" s="2">
        <v>2</v>
      </c>
      <c r="O360" s="2">
        <v>3</v>
      </c>
      <c r="P360" s="2">
        <v>2</v>
      </c>
      <c r="Q360" s="2" t="s">
        <v>36</v>
      </c>
    </row>
    <row r="361" spans="1:17" x14ac:dyDescent="0.25">
      <c r="A361" s="2" t="s">
        <v>123</v>
      </c>
      <c r="B361" s="2">
        <v>37</v>
      </c>
      <c r="C361" s="2" t="s">
        <v>26</v>
      </c>
      <c r="D361" s="2" t="s">
        <v>33</v>
      </c>
      <c r="E361" s="2" t="s">
        <v>20</v>
      </c>
      <c r="F361" s="2" t="s">
        <v>40</v>
      </c>
      <c r="G361" s="2" t="s">
        <v>731</v>
      </c>
      <c r="H361" s="2">
        <v>4</v>
      </c>
      <c r="I361" s="2" t="s">
        <v>42</v>
      </c>
      <c r="J361" s="2">
        <v>5144</v>
      </c>
      <c r="K361" s="2">
        <v>8</v>
      </c>
      <c r="L361" s="2" t="s">
        <v>36</v>
      </c>
      <c r="M361" s="2">
        <v>3</v>
      </c>
      <c r="N361" s="2">
        <v>2</v>
      </c>
      <c r="O361" s="2">
        <v>3</v>
      </c>
      <c r="P361" s="2">
        <v>1</v>
      </c>
      <c r="Q361" s="2" t="s">
        <v>36</v>
      </c>
    </row>
    <row r="362" spans="1:17" x14ac:dyDescent="0.25">
      <c r="A362" s="2" t="s">
        <v>693</v>
      </c>
      <c r="B362" s="2">
        <v>48</v>
      </c>
      <c r="C362" s="2" t="s">
        <v>26</v>
      </c>
      <c r="D362" s="2" t="s">
        <v>27</v>
      </c>
      <c r="E362" s="2" t="s">
        <v>20</v>
      </c>
      <c r="F362" s="2" t="s">
        <v>21</v>
      </c>
      <c r="G362" s="2" t="s">
        <v>733</v>
      </c>
      <c r="H362" s="2">
        <v>0</v>
      </c>
      <c r="I362" s="2" t="s">
        <v>23</v>
      </c>
      <c r="J362" s="2">
        <v>11413</v>
      </c>
      <c r="K362" s="2">
        <v>19</v>
      </c>
      <c r="L362" s="2" t="s">
        <v>24</v>
      </c>
      <c r="M362" s="2">
        <v>1</v>
      </c>
      <c r="N362" s="2">
        <v>4</v>
      </c>
      <c r="O362" s="2">
        <v>3</v>
      </c>
      <c r="P362" s="2">
        <v>4</v>
      </c>
      <c r="Q362" s="2" t="s">
        <v>36</v>
      </c>
    </row>
    <row r="363" spans="1:17" x14ac:dyDescent="0.25">
      <c r="A363" s="2" t="s">
        <v>610</v>
      </c>
      <c r="B363" s="2">
        <v>40</v>
      </c>
      <c r="C363" s="2" t="s">
        <v>26</v>
      </c>
      <c r="D363" s="2" t="s">
        <v>27</v>
      </c>
      <c r="E363" s="2" t="s">
        <v>28</v>
      </c>
      <c r="F363" s="2" t="s">
        <v>34</v>
      </c>
      <c r="G363" s="2" t="s">
        <v>735</v>
      </c>
      <c r="H363" s="2">
        <v>13</v>
      </c>
      <c r="I363" s="2" t="s">
        <v>92</v>
      </c>
      <c r="J363" s="2">
        <v>3831</v>
      </c>
      <c r="K363" s="2">
        <v>3</v>
      </c>
      <c r="L363" s="2" t="s">
        <v>24</v>
      </c>
      <c r="M363" s="2">
        <v>4</v>
      </c>
      <c r="N363" s="2">
        <v>2</v>
      </c>
      <c r="O363" s="2">
        <v>3</v>
      </c>
      <c r="P363" s="2">
        <v>0</v>
      </c>
      <c r="Q363" s="2" t="s">
        <v>24</v>
      </c>
    </row>
    <row r="364" spans="1:17" x14ac:dyDescent="0.25">
      <c r="A364" s="2" t="s">
        <v>835</v>
      </c>
      <c r="B364" s="2">
        <v>37</v>
      </c>
      <c r="C364" s="2" t="s">
        <v>26</v>
      </c>
      <c r="D364" s="2" t="s">
        <v>19</v>
      </c>
      <c r="E364" s="2" t="s">
        <v>20</v>
      </c>
      <c r="F364" s="2" t="s">
        <v>21</v>
      </c>
      <c r="G364" s="2" t="s">
        <v>737</v>
      </c>
      <c r="H364" s="2">
        <v>1</v>
      </c>
      <c r="I364" s="2" t="s">
        <v>23</v>
      </c>
      <c r="J364" s="2">
        <v>11527</v>
      </c>
      <c r="K364" s="2">
        <v>30</v>
      </c>
      <c r="L364" s="2" t="s">
        <v>24</v>
      </c>
      <c r="M364" s="2">
        <v>3</v>
      </c>
      <c r="N364" s="2">
        <v>4</v>
      </c>
      <c r="O364" s="2">
        <v>3</v>
      </c>
      <c r="P364" s="2">
        <v>5</v>
      </c>
      <c r="Q364" s="2" t="s">
        <v>24</v>
      </c>
    </row>
    <row r="365" spans="1:17" x14ac:dyDescent="0.25">
      <c r="A365" s="2" t="s">
        <v>474</v>
      </c>
      <c r="B365" s="2">
        <v>31</v>
      </c>
      <c r="C365" s="2" t="s">
        <v>26</v>
      </c>
      <c r="D365" s="2" t="s">
        <v>33</v>
      </c>
      <c r="E365" s="2" t="s">
        <v>20</v>
      </c>
      <c r="F365" s="2" t="s">
        <v>21</v>
      </c>
      <c r="G365" s="2" t="s">
        <v>739</v>
      </c>
      <c r="H365" s="2">
        <v>0</v>
      </c>
      <c r="I365" s="2" t="s">
        <v>23</v>
      </c>
      <c r="J365" s="2">
        <v>11407</v>
      </c>
      <c r="K365" s="2">
        <v>12</v>
      </c>
      <c r="L365" s="2" t="s">
        <v>24</v>
      </c>
      <c r="M365" s="2">
        <v>1</v>
      </c>
      <c r="N365" s="2">
        <v>3</v>
      </c>
      <c r="O365" s="2">
        <v>3</v>
      </c>
      <c r="P365" s="2">
        <v>3</v>
      </c>
      <c r="Q365" s="2" t="s">
        <v>24</v>
      </c>
    </row>
    <row r="366" spans="1:17" x14ac:dyDescent="0.25">
      <c r="A366" s="2" t="s">
        <v>1068</v>
      </c>
      <c r="B366" s="2">
        <v>31</v>
      </c>
      <c r="C366" s="2" t="s">
        <v>18</v>
      </c>
      <c r="D366" s="2" t="s">
        <v>19</v>
      </c>
      <c r="E366" s="2" t="s">
        <v>28</v>
      </c>
      <c r="F366" s="2" t="s">
        <v>29</v>
      </c>
      <c r="G366" s="2" t="s">
        <v>741</v>
      </c>
      <c r="H366" s="2">
        <v>1</v>
      </c>
      <c r="I366" s="2" t="s">
        <v>23</v>
      </c>
      <c r="J366" s="2">
        <v>14517</v>
      </c>
      <c r="K366" s="2">
        <v>5</v>
      </c>
      <c r="L366" s="2" t="s">
        <v>36</v>
      </c>
      <c r="M366" s="2">
        <v>1</v>
      </c>
      <c r="N366" s="2">
        <v>1</v>
      </c>
      <c r="O366" s="2">
        <v>3</v>
      </c>
      <c r="P366" s="2">
        <v>4</v>
      </c>
      <c r="Q366" s="2" t="s">
        <v>36</v>
      </c>
    </row>
    <row r="367" spans="1:17" x14ac:dyDescent="0.25">
      <c r="A367" s="2" t="s">
        <v>455</v>
      </c>
      <c r="B367" s="2">
        <v>46</v>
      </c>
      <c r="C367" s="2" t="s">
        <v>26</v>
      </c>
      <c r="D367" s="2" t="s">
        <v>19</v>
      </c>
      <c r="E367" s="2" t="s">
        <v>20</v>
      </c>
      <c r="F367" s="2" t="s">
        <v>44</v>
      </c>
      <c r="G367" s="2" t="s">
        <v>743</v>
      </c>
      <c r="H367" s="2">
        <v>17</v>
      </c>
      <c r="I367" s="2" t="s">
        <v>92</v>
      </c>
      <c r="J367" s="2">
        <v>7513</v>
      </c>
      <c r="K367" s="2">
        <v>1</v>
      </c>
      <c r="L367" s="2" t="s">
        <v>24</v>
      </c>
      <c r="M367" s="2">
        <v>1</v>
      </c>
      <c r="N367" s="2">
        <v>3</v>
      </c>
      <c r="O367" s="2">
        <v>4</v>
      </c>
      <c r="P367" s="2">
        <v>5</v>
      </c>
      <c r="Q367" s="2" t="s">
        <v>24</v>
      </c>
    </row>
    <row r="368" spans="1:17" x14ac:dyDescent="0.25">
      <c r="A368" s="2" t="s">
        <v>981</v>
      </c>
      <c r="B368" s="2">
        <v>27</v>
      </c>
      <c r="C368" s="2" t="s">
        <v>26</v>
      </c>
      <c r="D368" s="2" t="s">
        <v>33</v>
      </c>
      <c r="E368" s="2" t="s">
        <v>28</v>
      </c>
      <c r="F368" s="2" t="s">
        <v>59</v>
      </c>
      <c r="G368" s="2" t="s">
        <v>745</v>
      </c>
      <c r="H368" s="2">
        <v>0</v>
      </c>
      <c r="I368" s="2" t="s">
        <v>23</v>
      </c>
      <c r="J368" s="2">
        <v>4598</v>
      </c>
      <c r="K368" s="2">
        <v>6</v>
      </c>
      <c r="L368" s="2" t="s">
        <v>24</v>
      </c>
      <c r="M368" s="2">
        <v>4</v>
      </c>
      <c r="N368" s="2">
        <v>3</v>
      </c>
      <c r="O368" s="2">
        <v>4</v>
      </c>
      <c r="P368" s="2">
        <v>1</v>
      </c>
      <c r="Q368" s="2" t="s">
        <v>24</v>
      </c>
    </row>
    <row r="369" spans="1:17" x14ac:dyDescent="0.25">
      <c r="A369" s="2" t="s">
        <v>413</v>
      </c>
      <c r="B369" s="2">
        <v>25</v>
      </c>
      <c r="C369" s="2" t="s">
        <v>18</v>
      </c>
      <c r="D369" s="2" t="s">
        <v>33</v>
      </c>
      <c r="E369" s="2" t="s">
        <v>20</v>
      </c>
      <c r="F369" s="2" t="s">
        <v>40</v>
      </c>
      <c r="G369" s="2" t="s">
        <v>747</v>
      </c>
      <c r="H369" s="2">
        <v>4</v>
      </c>
      <c r="I369" s="2" t="s">
        <v>42</v>
      </c>
      <c r="J369" s="2">
        <v>5245</v>
      </c>
      <c r="K369" s="2">
        <v>17</v>
      </c>
      <c r="L369" s="2" t="s">
        <v>24</v>
      </c>
      <c r="M369" s="2">
        <v>3</v>
      </c>
      <c r="N369" s="2">
        <v>4</v>
      </c>
      <c r="O369" s="2">
        <v>3</v>
      </c>
      <c r="P369" s="2">
        <v>1</v>
      </c>
      <c r="Q369" s="2" t="s">
        <v>24</v>
      </c>
    </row>
    <row r="370" spans="1:17" x14ac:dyDescent="0.25">
      <c r="A370" s="2" t="s">
        <v>471</v>
      </c>
      <c r="B370" s="2">
        <v>49</v>
      </c>
      <c r="C370" s="2" t="s">
        <v>18</v>
      </c>
      <c r="D370" s="2" t="s">
        <v>19</v>
      </c>
      <c r="E370" s="2" t="s">
        <v>110</v>
      </c>
      <c r="F370" s="2" t="s">
        <v>189</v>
      </c>
      <c r="G370" s="2" t="s">
        <v>749</v>
      </c>
      <c r="H370" s="2">
        <v>0</v>
      </c>
      <c r="I370" s="2" t="s">
        <v>23</v>
      </c>
      <c r="J370" s="2">
        <v>3945</v>
      </c>
      <c r="K370" s="2">
        <v>2</v>
      </c>
      <c r="L370" s="2" t="s">
        <v>24</v>
      </c>
      <c r="M370" s="2">
        <v>2</v>
      </c>
      <c r="N370" s="2">
        <v>2</v>
      </c>
      <c r="O370" s="2">
        <v>3</v>
      </c>
      <c r="P370" s="2">
        <v>2</v>
      </c>
      <c r="Q370" s="2" t="s">
        <v>24</v>
      </c>
    </row>
    <row r="371" spans="1:17" x14ac:dyDescent="0.25">
      <c r="A371" s="2" t="s">
        <v>862</v>
      </c>
      <c r="B371" s="2">
        <v>32</v>
      </c>
      <c r="C371" s="2" t="s">
        <v>18</v>
      </c>
      <c r="D371" s="2" t="s">
        <v>19</v>
      </c>
      <c r="E371" s="2" t="s">
        <v>28</v>
      </c>
      <c r="F371" s="2" t="s">
        <v>64</v>
      </c>
      <c r="G371" s="2" t="s">
        <v>751</v>
      </c>
      <c r="H371" s="2">
        <v>1</v>
      </c>
      <c r="I371" s="2" t="s">
        <v>23</v>
      </c>
      <c r="J371" s="2">
        <v>4760</v>
      </c>
      <c r="K371" s="2">
        <v>1</v>
      </c>
      <c r="L371" s="2" t="s">
        <v>24</v>
      </c>
      <c r="M371" s="2">
        <v>2</v>
      </c>
      <c r="N371" s="2">
        <v>2</v>
      </c>
      <c r="O371" s="2">
        <v>3</v>
      </c>
      <c r="P371" s="2">
        <v>1</v>
      </c>
      <c r="Q371" s="2" t="s">
        <v>24</v>
      </c>
    </row>
    <row r="372" spans="1:17" x14ac:dyDescent="0.25">
      <c r="A372" s="2" t="s">
        <v>1085</v>
      </c>
      <c r="B372" s="2">
        <v>23</v>
      </c>
      <c r="C372" s="2" t="s">
        <v>18</v>
      </c>
      <c r="D372" s="2" t="s">
        <v>19</v>
      </c>
      <c r="E372" s="2" t="s">
        <v>28</v>
      </c>
      <c r="F372" s="2" t="s">
        <v>34</v>
      </c>
      <c r="G372" s="2" t="s">
        <v>239</v>
      </c>
      <c r="H372" s="2">
        <v>1</v>
      </c>
      <c r="I372" s="2" t="s">
        <v>23</v>
      </c>
      <c r="J372" s="2">
        <v>3065</v>
      </c>
      <c r="K372" s="2">
        <v>9</v>
      </c>
      <c r="L372" s="2" t="s">
        <v>36</v>
      </c>
      <c r="M372" s="2">
        <v>2</v>
      </c>
      <c r="N372" s="2">
        <v>3</v>
      </c>
      <c r="O372" s="2">
        <v>3</v>
      </c>
      <c r="P372" s="2">
        <v>5</v>
      </c>
      <c r="Q372" s="2" t="s">
        <v>36</v>
      </c>
    </row>
    <row r="373" spans="1:17" x14ac:dyDescent="0.25">
      <c r="A373" s="2" t="s">
        <v>847</v>
      </c>
      <c r="B373" s="2">
        <v>20</v>
      </c>
      <c r="C373" s="2" t="s">
        <v>18</v>
      </c>
      <c r="D373" s="2" t="s">
        <v>19</v>
      </c>
      <c r="E373" s="2" t="s">
        <v>28</v>
      </c>
      <c r="F373" s="2" t="s">
        <v>59</v>
      </c>
      <c r="G373" s="2" t="s">
        <v>754</v>
      </c>
      <c r="H373" s="2">
        <v>4</v>
      </c>
      <c r="I373" s="2" t="s">
        <v>42</v>
      </c>
      <c r="J373" s="2">
        <v>5736</v>
      </c>
      <c r="K373" s="2">
        <v>5</v>
      </c>
      <c r="L373" s="2" t="s">
        <v>24</v>
      </c>
      <c r="M373" s="2">
        <v>2</v>
      </c>
      <c r="N373" s="2">
        <v>2</v>
      </c>
      <c r="O373" s="2">
        <v>3</v>
      </c>
      <c r="P373" s="2">
        <v>4</v>
      </c>
      <c r="Q373" s="2" t="s">
        <v>36</v>
      </c>
    </row>
    <row r="374" spans="1:17" x14ac:dyDescent="0.25">
      <c r="A374" s="2" t="s">
        <v>1030</v>
      </c>
      <c r="B374" s="2">
        <v>23</v>
      </c>
      <c r="C374" s="2" t="s">
        <v>18</v>
      </c>
      <c r="D374" s="2" t="s">
        <v>19</v>
      </c>
      <c r="E374" s="2" t="s">
        <v>20</v>
      </c>
      <c r="F374" s="2" t="s">
        <v>21</v>
      </c>
      <c r="G374" s="2" t="s">
        <v>756</v>
      </c>
      <c r="H374" s="2">
        <v>5</v>
      </c>
      <c r="I374" s="2" t="s">
        <v>42</v>
      </c>
      <c r="J374" s="2">
        <v>11743</v>
      </c>
      <c r="K374" s="2">
        <v>1</v>
      </c>
      <c r="L374" s="2" t="s">
        <v>36</v>
      </c>
      <c r="M374" s="2">
        <v>2</v>
      </c>
      <c r="N374" s="2">
        <v>4</v>
      </c>
      <c r="O374" s="2">
        <v>3</v>
      </c>
      <c r="P374" s="2">
        <v>4</v>
      </c>
      <c r="Q374" s="2" t="s">
        <v>36</v>
      </c>
    </row>
    <row r="375" spans="1:17" x14ac:dyDescent="0.25">
      <c r="A375" s="2" t="s">
        <v>17</v>
      </c>
      <c r="B375" s="2">
        <v>31</v>
      </c>
      <c r="C375" s="2" t="s">
        <v>18</v>
      </c>
      <c r="D375" s="2" t="s">
        <v>27</v>
      </c>
      <c r="E375" s="2" t="s">
        <v>20</v>
      </c>
      <c r="F375" s="2" t="s">
        <v>40</v>
      </c>
      <c r="G375" s="2" t="s">
        <v>126</v>
      </c>
      <c r="H375" s="2">
        <v>3</v>
      </c>
      <c r="I375" s="2" t="s">
        <v>42</v>
      </c>
      <c r="J375" s="2">
        <v>4456</v>
      </c>
      <c r="K375" s="2">
        <v>15</v>
      </c>
      <c r="L375" s="2" t="s">
        <v>24</v>
      </c>
      <c r="M375" s="2">
        <v>4</v>
      </c>
      <c r="N375" s="2">
        <v>4</v>
      </c>
      <c r="O375" s="2">
        <v>3</v>
      </c>
      <c r="P375" s="2">
        <v>3</v>
      </c>
      <c r="Q375" s="2" t="s">
        <v>24</v>
      </c>
    </row>
    <row r="376" spans="1:17" x14ac:dyDescent="0.25">
      <c r="A376" s="2" t="s">
        <v>990</v>
      </c>
      <c r="B376" s="2">
        <v>40</v>
      </c>
      <c r="C376" s="2" t="s">
        <v>26</v>
      </c>
      <c r="D376" s="2" t="s">
        <v>19</v>
      </c>
      <c r="E376" s="2" t="s">
        <v>28</v>
      </c>
      <c r="F376" s="2" t="s">
        <v>59</v>
      </c>
      <c r="G376" s="2" t="s">
        <v>759</v>
      </c>
      <c r="H376" s="2">
        <v>2</v>
      </c>
      <c r="I376" s="2" t="s">
        <v>23</v>
      </c>
      <c r="J376" s="2">
        <v>6494</v>
      </c>
      <c r="K376" s="2">
        <v>28</v>
      </c>
      <c r="L376" s="2" t="s">
        <v>24</v>
      </c>
      <c r="M376" s="2">
        <v>3</v>
      </c>
      <c r="N376" s="2">
        <v>4</v>
      </c>
      <c r="O376" s="2">
        <v>4</v>
      </c>
      <c r="P376" s="2">
        <v>4</v>
      </c>
      <c r="Q376" s="2" t="s">
        <v>24</v>
      </c>
    </row>
    <row r="377" spans="1:17" x14ac:dyDescent="0.25">
      <c r="A377" s="2" t="s">
        <v>746</v>
      </c>
      <c r="B377" s="2">
        <v>35</v>
      </c>
      <c r="C377" s="2" t="s">
        <v>18</v>
      </c>
      <c r="D377" s="2" t="s">
        <v>33</v>
      </c>
      <c r="E377" s="2" t="s">
        <v>28</v>
      </c>
      <c r="F377" s="2" t="s">
        <v>64</v>
      </c>
      <c r="G377" s="2" t="s">
        <v>761</v>
      </c>
      <c r="H377" s="2">
        <v>1</v>
      </c>
      <c r="I377" s="2" t="s">
        <v>23</v>
      </c>
      <c r="J377" s="2">
        <v>4237</v>
      </c>
      <c r="K377" s="2">
        <v>6</v>
      </c>
      <c r="L377" s="2" t="s">
        <v>24</v>
      </c>
      <c r="M377" s="2">
        <v>2</v>
      </c>
      <c r="N377" s="2">
        <v>2</v>
      </c>
      <c r="O377" s="2">
        <v>3</v>
      </c>
      <c r="P377" s="2">
        <v>3</v>
      </c>
      <c r="Q377" s="2" t="s">
        <v>36</v>
      </c>
    </row>
    <row r="378" spans="1:17" x14ac:dyDescent="0.25">
      <c r="A378" s="2" t="s">
        <v>80</v>
      </c>
      <c r="B378" s="2">
        <v>30</v>
      </c>
      <c r="C378" s="2" t="s">
        <v>26</v>
      </c>
      <c r="D378" s="2" t="s">
        <v>19</v>
      </c>
      <c r="E378" s="2" t="s">
        <v>20</v>
      </c>
      <c r="F378" s="2" t="s">
        <v>21</v>
      </c>
      <c r="G378" s="2" t="s">
        <v>763</v>
      </c>
      <c r="H378" s="2">
        <v>5</v>
      </c>
      <c r="I378" s="2" t="s">
        <v>42</v>
      </c>
      <c r="J378" s="2">
        <v>10447</v>
      </c>
      <c r="K378" s="2">
        <v>5</v>
      </c>
      <c r="L378" s="2" t="s">
        <v>36</v>
      </c>
      <c r="M378" s="2">
        <v>4</v>
      </c>
      <c r="N378" s="2">
        <v>3</v>
      </c>
      <c r="O378" s="2">
        <v>3</v>
      </c>
      <c r="P378" s="2">
        <v>1</v>
      </c>
      <c r="Q378" s="2" t="s">
        <v>36</v>
      </c>
    </row>
    <row r="379" spans="1:17" x14ac:dyDescent="0.25">
      <c r="A379" s="2" t="s">
        <v>150</v>
      </c>
      <c r="B379" s="2">
        <v>28</v>
      </c>
      <c r="C379" s="2" t="s">
        <v>18</v>
      </c>
      <c r="D379" s="2" t="s">
        <v>27</v>
      </c>
      <c r="E379" s="2" t="s">
        <v>28</v>
      </c>
      <c r="F379" s="2" t="s">
        <v>59</v>
      </c>
      <c r="G379" s="2" t="s">
        <v>765</v>
      </c>
      <c r="H379" s="2">
        <v>2</v>
      </c>
      <c r="I379" s="2" t="s">
        <v>23</v>
      </c>
      <c r="J379" s="2">
        <v>5728</v>
      </c>
      <c r="K379" s="2">
        <v>3</v>
      </c>
      <c r="L379" s="2" t="s">
        <v>24</v>
      </c>
      <c r="M379" s="2">
        <v>3</v>
      </c>
      <c r="N379" s="2">
        <v>4</v>
      </c>
      <c r="O379" s="2">
        <v>3</v>
      </c>
      <c r="P379" s="2">
        <v>3</v>
      </c>
      <c r="Q379" s="2" t="s">
        <v>24</v>
      </c>
    </row>
    <row r="380" spans="1:17" x14ac:dyDescent="0.25">
      <c r="A380" s="2" t="s">
        <v>395</v>
      </c>
      <c r="B380" s="2">
        <v>29</v>
      </c>
      <c r="C380" s="2" t="s">
        <v>18</v>
      </c>
      <c r="D380" s="2" t="s">
        <v>33</v>
      </c>
      <c r="E380" s="2" t="s">
        <v>110</v>
      </c>
      <c r="F380" s="2" t="s">
        <v>111</v>
      </c>
      <c r="G380" s="2" t="s">
        <v>466</v>
      </c>
      <c r="H380" s="2">
        <v>0</v>
      </c>
      <c r="I380" s="2" t="s">
        <v>23</v>
      </c>
      <c r="J380" s="2">
        <v>5113</v>
      </c>
      <c r="K380" s="2">
        <v>1</v>
      </c>
      <c r="L380" s="2" t="s">
        <v>24</v>
      </c>
      <c r="M380" s="2">
        <v>4</v>
      </c>
      <c r="N380" s="2">
        <v>2</v>
      </c>
      <c r="O380" s="2">
        <v>3</v>
      </c>
      <c r="P380" s="2">
        <v>2</v>
      </c>
      <c r="Q380" s="2" t="s">
        <v>36</v>
      </c>
    </row>
    <row r="381" spans="1:17" x14ac:dyDescent="0.25">
      <c r="A381" s="2" t="s">
        <v>176</v>
      </c>
      <c r="B381" s="2">
        <v>43</v>
      </c>
      <c r="C381" s="2" t="s">
        <v>26</v>
      </c>
      <c r="D381" s="2" t="s">
        <v>19</v>
      </c>
      <c r="E381" s="2" t="s">
        <v>28</v>
      </c>
      <c r="F381" s="2" t="s">
        <v>59</v>
      </c>
      <c r="G381" s="2" t="s">
        <v>443</v>
      </c>
      <c r="H381" s="2">
        <v>0</v>
      </c>
      <c r="I381" s="2" t="s">
        <v>23</v>
      </c>
      <c r="J381" s="2">
        <v>6192</v>
      </c>
      <c r="K381" s="2">
        <v>2</v>
      </c>
      <c r="L381" s="2" t="s">
        <v>24</v>
      </c>
      <c r="M381" s="2">
        <v>3</v>
      </c>
      <c r="N381" s="2">
        <v>3</v>
      </c>
      <c r="O381" s="2">
        <v>4</v>
      </c>
      <c r="P381" s="2">
        <v>4</v>
      </c>
      <c r="Q381" s="2" t="s">
        <v>24</v>
      </c>
    </row>
    <row r="382" spans="1:17" x14ac:dyDescent="0.25">
      <c r="A382" s="2" t="s">
        <v>600</v>
      </c>
      <c r="B382" s="2">
        <v>34</v>
      </c>
      <c r="C382" s="2" t="s">
        <v>18</v>
      </c>
      <c r="D382" s="2" t="s">
        <v>27</v>
      </c>
      <c r="E382" s="2" t="s">
        <v>28</v>
      </c>
      <c r="F382" s="2" t="s">
        <v>59</v>
      </c>
      <c r="G382" s="2" t="s">
        <v>769</v>
      </c>
      <c r="H382" s="2">
        <v>6</v>
      </c>
      <c r="I382" s="2" t="s">
        <v>31</v>
      </c>
      <c r="J382" s="2">
        <v>5212</v>
      </c>
      <c r="K382" s="2">
        <v>5</v>
      </c>
      <c r="L382" s="2" t="s">
        <v>36</v>
      </c>
      <c r="M382" s="2">
        <v>3</v>
      </c>
      <c r="N382" s="2">
        <v>4</v>
      </c>
      <c r="O382" s="2">
        <v>4</v>
      </c>
      <c r="P382" s="2">
        <v>4</v>
      </c>
      <c r="Q382" s="2" t="s">
        <v>24</v>
      </c>
    </row>
    <row r="383" spans="1:17" x14ac:dyDescent="0.25">
      <c r="A383" s="2" t="s">
        <v>315</v>
      </c>
      <c r="B383" s="2">
        <v>40</v>
      </c>
      <c r="C383" s="2" t="s">
        <v>26</v>
      </c>
      <c r="D383" s="2" t="s">
        <v>19</v>
      </c>
      <c r="E383" s="2" t="s">
        <v>28</v>
      </c>
      <c r="F383" s="2" t="s">
        <v>29</v>
      </c>
      <c r="G383" s="2" t="s">
        <v>771</v>
      </c>
      <c r="H383" s="2">
        <v>4</v>
      </c>
      <c r="I383" s="2" t="s">
        <v>42</v>
      </c>
      <c r="J383" s="2">
        <v>12833</v>
      </c>
      <c r="K383" s="2">
        <v>17</v>
      </c>
      <c r="L383" s="2" t="s">
        <v>24</v>
      </c>
      <c r="M383" s="2">
        <v>4</v>
      </c>
      <c r="N383" s="2">
        <v>2</v>
      </c>
      <c r="O383" s="2">
        <v>3</v>
      </c>
      <c r="P383" s="2">
        <v>5</v>
      </c>
      <c r="Q383" s="2" t="s">
        <v>24</v>
      </c>
    </row>
    <row r="384" spans="1:17" x14ac:dyDescent="0.25">
      <c r="A384" s="2" t="s">
        <v>550</v>
      </c>
      <c r="B384" s="2">
        <v>26</v>
      </c>
      <c r="C384" s="2" t="s">
        <v>26</v>
      </c>
      <c r="D384" s="2" t="s">
        <v>27</v>
      </c>
      <c r="E384" s="2" t="s">
        <v>28</v>
      </c>
      <c r="F384" s="2" t="s">
        <v>59</v>
      </c>
      <c r="G384" s="2" t="s">
        <v>536</v>
      </c>
      <c r="H384" s="2">
        <v>0</v>
      </c>
      <c r="I384" s="2" t="s">
        <v>23</v>
      </c>
      <c r="J384" s="2">
        <v>5431</v>
      </c>
      <c r="K384" s="2">
        <v>1</v>
      </c>
      <c r="L384" s="2" t="s">
        <v>24</v>
      </c>
      <c r="M384" s="2">
        <v>3</v>
      </c>
      <c r="N384" s="2">
        <v>2</v>
      </c>
      <c r="O384" s="2">
        <v>4</v>
      </c>
      <c r="P384" s="2">
        <v>0</v>
      </c>
      <c r="Q384" s="2" t="s">
        <v>24</v>
      </c>
    </row>
    <row r="385" spans="1:17" x14ac:dyDescent="0.25">
      <c r="A385" s="2" t="s">
        <v>252</v>
      </c>
      <c r="B385" s="2">
        <v>22</v>
      </c>
      <c r="C385" s="2" t="s">
        <v>26</v>
      </c>
      <c r="D385" s="2" t="s">
        <v>27</v>
      </c>
      <c r="E385" s="2" t="s">
        <v>28</v>
      </c>
      <c r="F385" s="2" t="s">
        <v>59</v>
      </c>
      <c r="G385" s="2" t="s">
        <v>774</v>
      </c>
      <c r="H385" s="2">
        <v>0</v>
      </c>
      <c r="I385" s="2" t="s">
        <v>23</v>
      </c>
      <c r="J385" s="2">
        <v>5890</v>
      </c>
      <c r="K385" s="2">
        <v>17</v>
      </c>
      <c r="L385" s="2" t="s">
        <v>24</v>
      </c>
      <c r="M385" s="2">
        <v>2</v>
      </c>
      <c r="N385" s="2">
        <v>3</v>
      </c>
      <c r="O385" s="2">
        <v>4</v>
      </c>
      <c r="P385" s="2">
        <v>1</v>
      </c>
      <c r="Q385" s="2" t="s">
        <v>24</v>
      </c>
    </row>
    <row r="386" spans="1:17" x14ac:dyDescent="0.25">
      <c r="A386" s="2" t="s">
        <v>839</v>
      </c>
      <c r="B386" s="2">
        <v>49</v>
      </c>
      <c r="C386" s="2" t="s">
        <v>18</v>
      </c>
      <c r="D386" s="2" t="s">
        <v>33</v>
      </c>
      <c r="E386" s="2" t="s">
        <v>28</v>
      </c>
      <c r="F386" s="2" t="s">
        <v>29</v>
      </c>
      <c r="G386" s="2" t="s">
        <v>445</v>
      </c>
      <c r="H386" s="2">
        <v>2</v>
      </c>
      <c r="I386" s="2" t="s">
        <v>23</v>
      </c>
      <c r="J386" s="2">
        <v>14145</v>
      </c>
      <c r="K386" s="2">
        <v>1</v>
      </c>
      <c r="L386" s="2" t="s">
        <v>36</v>
      </c>
      <c r="M386" s="2">
        <v>1</v>
      </c>
      <c r="N386" s="2">
        <v>3</v>
      </c>
      <c r="O386" s="2">
        <v>3</v>
      </c>
      <c r="P386" s="2">
        <v>5</v>
      </c>
      <c r="Q386" s="2" t="s">
        <v>36</v>
      </c>
    </row>
    <row r="387" spans="1:17" x14ac:dyDescent="0.25">
      <c r="A387" s="2" t="s">
        <v>961</v>
      </c>
      <c r="B387" s="2">
        <v>38</v>
      </c>
      <c r="C387" s="2" t="s">
        <v>18</v>
      </c>
      <c r="D387" s="2" t="s">
        <v>33</v>
      </c>
      <c r="E387" s="2" t="s">
        <v>28</v>
      </c>
      <c r="F387" s="2" t="s">
        <v>34</v>
      </c>
      <c r="G387" s="2" t="s">
        <v>777</v>
      </c>
      <c r="H387" s="2">
        <v>2</v>
      </c>
      <c r="I387" s="2" t="s">
        <v>23</v>
      </c>
      <c r="J387" s="2">
        <v>2732</v>
      </c>
      <c r="K387" s="2">
        <v>6</v>
      </c>
      <c r="L387" s="2" t="s">
        <v>24</v>
      </c>
      <c r="M387" s="2">
        <v>4</v>
      </c>
      <c r="N387" s="2">
        <v>4</v>
      </c>
      <c r="O387" s="2">
        <v>4</v>
      </c>
      <c r="P387" s="2">
        <v>2</v>
      </c>
      <c r="Q387" s="2" t="s">
        <v>24</v>
      </c>
    </row>
    <row r="388" spans="1:17" x14ac:dyDescent="0.25">
      <c r="A388" s="2" t="s">
        <v>32</v>
      </c>
      <c r="B388" s="2">
        <v>30</v>
      </c>
      <c r="C388" s="2" t="s">
        <v>18</v>
      </c>
      <c r="D388" s="2" t="s">
        <v>19</v>
      </c>
      <c r="E388" s="2" t="s">
        <v>28</v>
      </c>
      <c r="F388" s="2" t="s">
        <v>34</v>
      </c>
      <c r="G388" s="2" t="s">
        <v>779</v>
      </c>
      <c r="H388" s="2">
        <v>4</v>
      </c>
      <c r="I388" s="2" t="s">
        <v>42</v>
      </c>
      <c r="J388" s="2">
        <v>2882</v>
      </c>
      <c r="K388" s="2">
        <v>5</v>
      </c>
      <c r="L388" s="2" t="s">
        <v>24</v>
      </c>
      <c r="M388" s="2">
        <v>1</v>
      </c>
      <c r="N388" s="2">
        <v>4</v>
      </c>
      <c r="O388" s="2">
        <v>3</v>
      </c>
      <c r="P388" s="2">
        <v>4</v>
      </c>
      <c r="Q388" s="2" t="s">
        <v>24</v>
      </c>
    </row>
    <row r="389" spans="1:17" x14ac:dyDescent="0.25">
      <c r="A389" s="2" t="s">
        <v>345</v>
      </c>
      <c r="B389" s="2">
        <v>32</v>
      </c>
      <c r="C389" s="2" t="s">
        <v>26</v>
      </c>
      <c r="D389" s="2" t="s">
        <v>27</v>
      </c>
      <c r="E389" s="2" t="s">
        <v>28</v>
      </c>
      <c r="F389" s="2" t="s">
        <v>34</v>
      </c>
      <c r="G389" s="2" t="s">
        <v>781</v>
      </c>
      <c r="H389" s="2">
        <v>11</v>
      </c>
      <c r="I389" s="2" t="s">
        <v>92</v>
      </c>
      <c r="J389" s="2">
        <v>3702</v>
      </c>
      <c r="K389" s="2">
        <v>26</v>
      </c>
      <c r="L389" s="2" t="s">
        <v>36</v>
      </c>
      <c r="M389" s="2">
        <v>2</v>
      </c>
      <c r="N389" s="2">
        <v>3</v>
      </c>
      <c r="O389" s="2">
        <v>3</v>
      </c>
      <c r="P389" s="2">
        <v>4</v>
      </c>
      <c r="Q389" s="2" t="s">
        <v>24</v>
      </c>
    </row>
    <row r="390" spans="1:17" x14ac:dyDescent="0.25">
      <c r="A390" s="2" t="s">
        <v>667</v>
      </c>
      <c r="B390" s="2">
        <v>20</v>
      </c>
      <c r="C390" s="2" t="s">
        <v>26</v>
      </c>
      <c r="D390" s="2" t="s">
        <v>33</v>
      </c>
      <c r="E390" s="2" t="s">
        <v>28</v>
      </c>
      <c r="F390" s="2" t="s">
        <v>34</v>
      </c>
      <c r="G390" s="2" t="s">
        <v>783</v>
      </c>
      <c r="H390" s="2">
        <v>1</v>
      </c>
      <c r="I390" s="2" t="s">
        <v>23</v>
      </c>
      <c r="J390" s="2">
        <v>2716</v>
      </c>
      <c r="K390" s="2">
        <v>30</v>
      </c>
      <c r="L390" s="2" t="s">
        <v>24</v>
      </c>
      <c r="M390" s="2">
        <v>4</v>
      </c>
      <c r="N390" s="2">
        <v>3</v>
      </c>
      <c r="O390" s="2">
        <v>3</v>
      </c>
      <c r="P390" s="2">
        <v>3</v>
      </c>
      <c r="Q390" s="2" t="s">
        <v>24</v>
      </c>
    </row>
    <row r="391" spans="1:17" x14ac:dyDescent="0.25">
      <c r="A391" s="2" t="s">
        <v>387</v>
      </c>
      <c r="B391" s="2">
        <v>31</v>
      </c>
      <c r="C391" s="2" t="s">
        <v>18</v>
      </c>
      <c r="D391" s="2" t="s">
        <v>19</v>
      </c>
      <c r="E391" s="2" t="s">
        <v>20</v>
      </c>
      <c r="F391" s="2" t="s">
        <v>44</v>
      </c>
      <c r="G391" s="2" t="s">
        <v>785</v>
      </c>
      <c r="H391" s="2">
        <v>7</v>
      </c>
      <c r="I391" s="2" t="s">
        <v>31</v>
      </c>
      <c r="J391" s="2">
        <v>7652</v>
      </c>
      <c r="K391" s="2">
        <v>7</v>
      </c>
      <c r="L391" s="2" t="s">
        <v>24</v>
      </c>
      <c r="M391" s="2">
        <v>3</v>
      </c>
      <c r="N391" s="2">
        <v>3</v>
      </c>
      <c r="O391" s="2">
        <v>3</v>
      </c>
      <c r="P391" s="2">
        <v>4</v>
      </c>
      <c r="Q391" s="2" t="s">
        <v>24</v>
      </c>
    </row>
    <row r="392" spans="1:17" x14ac:dyDescent="0.25">
      <c r="A392" s="2" t="s">
        <v>197</v>
      </c>
      <c r="B392" s="2">
        <v>39</v>
      </c>
      <c r="C392" s="2" t="s">
        <v>18</v>
      </c>
      <c r="D392" s="2" t="s">
        <v>19</v>
      </c>
      <c r="E392" s="2" t="s">
        <v>20</v>
      </c>
      <c r="F392" s="2" t="s">
        <v>44</v>
      </c>
      <c r="G392" s="2" t="s">
        <v>787</v>
      </c>
      <c r="H392" s="2">
        <v>2</v>
      </c>
      <c r="I392" s="2" t="s">
        <v>23</v>
      </c>
      <c r="J392" s="2">
        <v>5073</v>
      </c>
      <c r="K392" s="2">
        <v>4</v>
      </c>
      <c r="L392" s="2" t="s">
        <v>24</v>
      </c>
      <c r="M392" s="2">
        <v>3</v>
      </c>
      <c r="N392" s="2">
        <v>2</v>
      </c>
      <c r="O392" s="2">
        <v>3</v>
      </c>
      <c r="P392" s="2">
        <v>4</v>
      </c>
      <c r="Q392" s="2" t="s">
        <v>24</v>
      </c>
    </row>
    <row r="393" spans="1:17" x14ac:dyDescent="0.25">
      <c r="A393" s="2" t="s">
        <v>39</v>
      </c>
      <c r="B393" s="2">
        <v>25</v>
      </c>
      <c r="C393" s="2" t="s">
        <v>26</v>
      </c>
      <c r="D393" s="2" t="s">
        <v>33</v>
      </c>
      <c r="E393" s="2" t="s">
        <v>28</v>
      </c>
      <c r="F393" s="2" t="s">
        <v>29</v>
      </c>
      <c r="G393" s="2" t="s">
        <v>789</v>
      </c>
      <c r="H393" s="2">
        <v>2</v>
      </c>
      <c r="I393" s="2" t="s">
        <v>23</v>
      </c>
      <c r="J393" s="2">
        <v>15340</v>
      </c>
      <c r="K393" s="2">
        <v>12</v>
      </c>
      <c r="L393" s="2" t="s">
        <v>24</v>
      </c>
      <c r="M393" s="2">
        <v>4</v>
      </c>
      <c r="N393" s="2">
        <v>4</v>
      </c>
      <c r="O393" s="2">
        <v>3</v>
      </c>
      <c r="P393" s="2">
        <v>5</v>
      </c>
      <c r="Q393" s="2" t="s">
        <v>24</v>
      </c>
    </row>
    <row r="394" spans="1:17" x14ac:dyDescent="0.25">
      <c r="A394" s="2" t="s">
        <v>857</v>
      </c>
      <c r="B394" s="2">
        <v>32</v>
      </c>
      <c r="C394" s="2" t="s">
        <v>26</v>
      </c>
      <c r="D394" s="2" t="s">
        <v>19</v>
      </c>
      <c r="E394" s="2" t="s">
        <v>20</v>
      </c>
      <c r="F394" s="2" t="s">
        <v>44</v>
      </c>
      <c r="G394" s="2" t="s">
        <v>232</v>
      </c>
      <c r="H394" s="2">
        <v>1</v>
      </c>
      <c r="I394" s="2" t="s">
        <v>23</v>
      </c>
      <c r="J394" s="2">
        <v>7716</v>
      </c>
      <c r="K394" s="2">
        <v>1</v>
      </c>
      <c r="L394" s="2" t="s">
        <v>24</v>
      </c>
      <c r="M394" s="2">
        <v>2</v>
      </c>
      <c r="N394" s="2">
        <v>3</v>
      </c>
      <c r="O394" s="2">
        <v>3</v>
      </c>
      <c r="P394" s="2">
        <v>0</v>
      </c>
      <c r="Q394" s="2" t="s">
        <v>24</v>
      </c>
    </row>
    <row r="395" spans="1:17" x14ac:dyDescent="0.25">
      <c r="A395" s="2" t="s">
        <v>244</v>
      </c>
      <c r="B395" s="2">
        <v>42</v>
      </c>
      <c r="C395" s="2" t="s">
        <v>18</v>
      </c>
      <c r="D395" s="2" t="s">
        <v>19</v>
      </c>
      <c r="E395" s="2" t="s">
        <v>28</v>
      </c>
      <c r="F395" s="2" t="s">
        <v>59</v>
      </c>
      <c r="G395" s="2" t="s">
        <v>792</v>
      </c>
      <c r="H395" s="2">
        <v>1</v>
      </c>
      <c r="I395" s="2" t="s">
        <v>23</v>
      </c>
      <c r="J395" s="2">
        <v>6665</v>
      </c>
      <c r="K395" s="2">
        <v>1</v>
      </c>
      <c r="L395" s="2" t="s">
        <v>36</v>
      </c>
      <c r="M395" s="2">
        <v>1</v>
      </c>
      <c r="N395" s="2">
        <v>4</v>
      </c>
      <c r="O395" s="2">
        <v>3</v>
      </c>
      <c r="P395" s="2">
        <v>3</v>
      </c>
      <c r="Q395" s="2" t="s">
        <v>36</v>
      </c>
    </row>
    <row r="396" spans="1:17" x14ac:dyDescent="0.25">
      <c r="A396" s="2" t="s">
        <v>178</v>
      </c>
      <c r="B396" s="2">
        <v>25</v>
      </c>
      <c r="C396" s="2" t="s">
        <v>26</v>
      </c>
      <c r="D396" s="2" t="s">
        <v>19</v>
      </c>
      <c r="E396" s="2" t="s">
        <v>20</v>
      </c>
      <c r="F396" s="2" t="s">
        <v>40</v>
      </c>
      <c r="G396" s="2" t="s">
        <v>794</v>
      </c>
      <c r="H396" s="2">
        <v>2</v>
      </c>
      <c r="I396" s="2" t="s">
        <v>23</v>
      </c>
      <c r="J396" s="2">
        <v>4072</v>
      </c>
      <c r="K396" s="2">
        <v>11</v>
      </c>
      <c r="L396" s="2" t="s">
        <v>24</v>
      </c>
      <c r="M396" s="2">
        <v>4</v>
      </c>
      <c r="N396" s="2">
        <v>3</v>
      </c>
      <c r="O396" s="2">
        <v>4</v>
      </c>
      <c r="P396" s="2">
        <v>2</v>
      </c>
      <c r="Q396" s="2" t="s">
        <v>24</v>
      </c>
    </row>
    <row r="397" spans="1:17" x14ac:dyDescent="0.25">
      <c r="A397" s="2" t="s">
        <v>820</v>
      </c>
      <c r="B397" s="2">
        <v>27</v>
      </c>
      <c r="C397" s="2" t="s">
        <v>26</v>
      </c>
      <c r="D397" s="2" t="s">
        <v>33</v>
      </c>
      <c r="E397" s="2" t="s">
        <v>28</v>
      </c>
      <c r="F397" s="2" t="s">
        <v>59</v>
      </c>
      <c r="G397" s="2" t="s">
        <v>796</v>
      </c>
      <c r="H397" s="2">
        <v>1</v>
      </c>
      <c r="I397" s="2" t="s">
        <v>23</v>
      </c>
      <c r="J397" s="2">
        <v>5580</v>
      </c>
      <c r="K397" s="2">
        <v>7</v>
      </c>
      <c r="L397" s="2" t="s">
        <v>24</v>
      </c>
      <c r="M397" s="2">
        <v>4</v>
      </c>
      <c r="N397" s="2">
        <v>3</v>
      </c>
      <c r="O397" s="2">
        <v>4</v>
      </c>
      <c r="P397" s="2">
        <v>2</v>
      </c>
      <c r="Q397" s="2" t="s">
        <v>24</v>
      </c>
    </row>
    <row r="398" spans="1:17" x14ac:dyDescent="0.25">
      <c r="A398" s="2" t="s">
        <v>211</v>
      </c>
      <c r="B398" s="2">
        <v>42</v>
      </c>
      <c r="C398" s="2" t="s">
        <v>18</v>
      </c>
      <c r="D398" s="2" t="s">
        <v>33</v>
      </c>
      <c r="E398" s="2" t="s">
        <v>28</v>
      </c>
      <c r="F398" s="2" t="s">
        <v>34</v>
      </c>
      <c r="G398" s="2" t="s">
        <v>798</v>
      </c>
      <c r="H398" s="2">
        <v>2</v>
      </c>
      <c r="I398" s="2" t="s">
        <v>23</v>
      </c>
      <c r="J398" s="2">
        <v>2982</v>
      </c>
      <c r="K398" s="2">
        <v>8</v>
      </c>
      <c r="L398" s="2" t="s">
        <v>24</v>
      </c>
      <c r="M398" s="2">
        <v>2</v>
      </c>
      <c r="N398" s="2">
        <v>3</v>
      </c>
      <c r="O398" s="2">
        <v>3</v>
      </c>
      <c r="P398" s="2">
        <v>5</v>
      </c>
      <c r="Q398" s="2" t="s">
        <v>24</v>
      </c>
    </row>
    <row r="399" spans="1:17" x14ac:dyDescent="0.25">
      <c r="A399" s="2" t="s">
        <v>327</v>
      </c>
      <c r="B399" s="2">
        <v>41</v>
      </c>
      <c r="C399" s="2" t="s">
        <v>18</v>
      </c>
      <c r="D399" s="2" t="s">
        <v>33</v>
      </c>
      <c r="E399" s="2" t="s">
        <v>20</v>
      </c>
      <c r="F399" s="2" t="s">
        <v>44</v>
      </c>
      <c r="G399" s="2" t="s">
        <v>800</v>
      </c>
      <c r="H399" s="2">
        <v>2</v>
      </c>
      <c r="I399" s="2" t="s">
        <v>23</v>
      </c>
      <c r="J399" s="2">
        <v>5880</v>
      </c>
      <c r="K399" s="2">
        <v>2</v>
      </c>
      <c r="L399" s="2" t="s">
        <v>36</v>
      </c>
      <c r="M399" s="2">
        <v>4</v>
      </c>
      <c r="N399" s="2">
        <v>4</v>
      </c>
      <c r="O399" s="2">
        <v>3</v>
      </c>
      <c r="P399" s="2">
        <v>5</v>
      </c>
      <c r="Q399" s="2" t="s">
        <v>36</v>
      </c>
    </row>
    <row r="400" spans="1:17" x14ac:dyDescent="0.25">
      <c r="A400" s="2" t="s">
        <v>797</v>
      </c>
      <c r="B400" s="2">
        <v>26</v>
      </c>
      <c r="C400" s="2" t="s">
        <v>26</v>
      </c>
      <c r="D400" s="2" t="s">
        <v>33</v>
      </c>
      <c r="E400" s="2" t="s">
        <v>28</v>
      </c>
      <c r="F400" s="2" t="s">
        <v>34</v>
      </c>
      <c r="G400" s="2" t="s">
        <v>802</v>
      </c>
      <c r="H400" s="2">
        <v>5</v>
      </c>
      <c r="I400" s="2" t="s">
        <v>42</v>
      </c>
      <c r="J400" s="2">
        <v>2901</v>
      </c>
      <c r="K400" s="2">
        <v>17</v>
      </c>
      <c r="L400" s="2" t="s">
        <v>24</v>
      </c>
      <c r="M400" s="2">
        <v>3</v>
      </c>
      <c r="N400" s="2">
        <v>3</v>
      </c>
      <c r="O400" s="2">
        <v>3</v>
      </c>
      <c r="P400" s="2">
        <v>0</v>
      </c>
      <c r="Q400" s="2" t="s">
        <v>24</v>
      </c>
    </row>
    <row r="401" spans="1:17" x14ac:dyDescent="0.25">
      <c r="A401" s="2" t="s">
        <v>84</v>
      </c>
      <c r="B401" s="2">
        <v>32</v>
      </c>
      <c r="C401" s="2" t="s">
        <v>18</v>
      </c>
      <c r="D401" s="2" t="s">
        <v>33</v>
      </c>
      <c r="E401" s="2" t="s">
        <v>28</v>
      </c>
      <c r="F401" s="2" t="s">
        <v>34</v>
      </c>
      <c r="G401" s="2" t="s">
        <v>804</v>
      </c>
      <c r="H401" s="2">
        <v>9</v>
      </c>
      <c r="I401" s="2" t="s">
        <v>31</v>
      </c>
      <c r="J401" s="2">
        <v>3217</v>
      </c>
      <c r="K401" s="2">
        <v>11</v>
      </c>
      <c r="L401" s="2" t="s">
        <v>24</v>
      </c>
      <c r="M401" s="2">
        <v>4</v>
      </c>
      <c r="N401" s="2">
        <v>2</v>
      </c>
      <c r="O401" s="2">
        <v>3</v>
      </c>
      <c r="P401" s="2">
        <v>5</v>
      </c>
      <c r="Q401" s="2" t="s">
        <v>24</v>
      </c>
    </row>
    <row r="402" spans="1:17" x14ac:dyDescent="0.25">
      <c r="A402" s="2" t="s">
        <v>359</v>
      </c>
      <c r="B402" s="2">
        <v>40</v>
      </c>
      <c r="C402" s="2" t="s">
        <v>26</v>
      </c>
      <c r="D402" s="2" t="s">
        <v>33</v>
      </c>
      <c r="E402" s="2" t="s">
        <v>20</v>
      </c>
      <c r="F402" s="2" t="s">
        <v>21</v>
      </c>
      <c r="G402" s="2" t="s">
        <v>806</v>
      </c>
      <c r="H402" s="2">
        <v>1</v>
      </c>
      <c r="I402" s="2" t="s">
        <v>23</v>
      </c>
      <c r="J402" s="2">
        <v>12759</v>
      </c>
      <c r="K402" s="2">
        <v>7</v>
      </c>
      <c r="L402" s="2" t="s">
        <v>24</v>
      </c>
      <c r="M402" s="2">
        <v>1</v>
      </c>
      <c r="N402" s="2">
        <v>2</v>
      </c>
      <c r="O402" s="2">
        <v>3</v>
      </c>
      <c r="P402" s="2">
        <v>0</v>
      </c>
      <c r="Q402" s="2" t="s">
        <v>36</v>
      </c>
    </row>
    <row r="403" spans="1:17" x14ac:dyDescent="0.25">
      <c r="A403" s="2" t="s">
        <v>225</v>
      </c>
      <c r="B403" s="2">
        <v>41</v>
      </c>
      <c r="C403" s="2" t="s">
        <v>18</v>
      </c>
      <c r="D403" s="2" t="s">
        <v>19</v>
      </c>
      <c r="E403" s="2" t="s">
        <v>20</v>
      </c>
      <c r="F403" s="2" t="s">
        <v>40</v>
      </c>
      <c r="G403" s="2" t="s">
        <v>808</v>
      </c>
      <c r="H403" s="2">
        <v>2</v>
      </c>
      <c r="I403" s="2" t="s">
        <v>23</v>
      </c>
      <c r="J403" s="2">
        <v>5091</v>
      </c>
      <c r="K403" s="2">
        <v>5</v>
      </c>
      <c r="L403" s="2" t="s">
        <v>36</v>
      </c>
      <c r="M403" s="2">
        <v>3</v>
      </c>
      <c r="N403" s="2">
        <v>2</v>
      </c>
      <c r="O403" s="2">
        <v>3</v>
      </c>
      <c r="P403" s="2">
        <v>3</v>
      </c>
      <c r="Q403" s="2" t="s">
        <v>36</v>
      </c>
    </row>
    <row r="404" spans="1:17" x14ac:dyDescent="0.25">
      <c r="A404" s="2" t="s">
        <v>329</v>
      </c>
      <c r="B404" s="2">
        <v>29</v>
      </c>
      <c r="C404" s="2" t="s">
        <v>18</v>
      </c>
      <c r="D404" s="2" t="s">
        <v>33</v>
      </c>
      <c r="E404" s="2" t="s">
        <v>28</v>
      </c>
      <c r="F404" s="2" t="s">
        <v>29</v>
      </c>
      <c r="G404" s="2" t="s">
        <v>810</v>
      </c>
      <c r="H404" s="2">
        <v>1</v>
      </c>
      <c r="I404" s="2" t="s">
        <v>23</v>
      </c>
      <c r="J404" s="2">
        <v>7500</v>
      </c>
      <c r="K404" s="2">
        <v>12</v>
      </c>
      <c r="L404" s="2" t="s">
        <v>24</v>
      </c>
      <c r="M404" s="2">
        <v>2</v>
      </c>
      <c r="N404" s="2">
        <v>4</v>
      </c>
      <c r="O404" s="2">
        <v>3</v>
      </c>
      <c r="P404" s="2">
        <v>2</v>
      </c>
      <c r="Q404" s="2" t="s">
        <v>36</v>
      </c>
    </row>
    <row r="405" spans="1:17" x14ac:dyDescent="0.25">
      <c r="A405" s="2" t="s">
        <v>1070</v>
      </c>
      <c r="B405" s="2">
        <v>20</v>
      </c>
      <c r="C405" s="2" t="s">
        <v>26</v>
      </c>
      <c r="D405" s="2" t="s">
        <v>33</v>
      </c>
      <c r="E405" s="2" t="s">
        <v>20</v>
      </c>
      <c r="F405" s="2" t="s">
        <v>21</v>
      </c>
      <c r="G405" s="2" t="s">
        <v>812</v>
      </c>
      <c r="H405" s="2">
        <v>0</v>
      </c>
      <c r="I405" s="2" t="s">
        <v>23</v>
      </c>
      <c r="J405" s="2">
        <v>12403</v>
      </c>
      <c r="K405" s="2">
        <v>12</v>
      </c>
      <c r="L405" s="2" t="s">
        <v>24</v>
      </c>
      <c r="M405" s="2">
        <v>4</v>
      </c>
      <c r="N405" s="2">
        <v>3</v>
      </c>
      <c r="O405" s="2">
        <v>4</v>
      </c>
      <c r="P405" s="2">
        <v>2</v>
      </c>
      <c r="Q405" s="2" t="s">
        <v>24</v>
      </c>
    </row>
    <row r="406" spans="1:17" x14ac:dyDescent="0.25">
      <c r="A406" s="2" t="s">
        <v>213</v>
      </c>
      <c r="B406" s="2">
        <v>20</v>
      </c>
      <c r="C406" s="2" t="s">
        <v>18</v>
      </c>
      <c r="D406" s="2" t="s">
        <v>27</v>
      </c>
      <c r="E406" s="2" t="s">
        <v>28</v>
      </c>
      <c r="F406" s="2" t="s">
        <v>34</v>
      </c>
      <c r="G406" s="2" t="s">
        <v>376</v>
      </c>
      <c r="H406" s="2">
        <v>3</v>
      </c>
      <c r="I406" s="2" t="s">
        <v>42</v>
      </c>
      <c r="J406" s="2">
        <v>3476</v>
      </c>
      <c r="K406" s="2">
        <v>3</v>
      </c>
      <c r="L406" s="2" t="s">
        <v>24</v>
      </c>
      <c r="M406" s="2">
        <v>4</v>
      </c>
      <c r="N406" s="2">
        <v>4</v>
      </c>
      <c r="O406" s="2">
        <v>3</v>
      </c>
      <c r="P406" s="2">
        <v>2</v>
      </c>
      <c r="Q406" s="2" t="s">
        <v>24</v>
      </c>
    </row>
    <row r="407" spans="1:17" x14ac:dyDescent="0.25">
      <c r="A407" s="2" t="s">
        <v>966</v>
      </c>
      <c r="B407" s="2">
        <v>33</v>
      </c>
      <c r="C407" s="2" t="s">
        <v>26</v>
      </c>
      <c r="D407" s="2" t="s">
        <v>33</v>
      </c>
      <c r="E407" s="2" t="s">
        <v>20</v>
      </c>
      <c r="F407" s="2" t="s">
        <v>40</v>
      </c>
      <c r="G407" s="2" t="s">
        <v>394</v>
      </c>
      <c r="H407" s="2">
        <v>4</v>
      </c>
      <c r="I407" s="2" t="s">
        <v>42</v>
      </c>
      <c r="J407" s="2">
        <v>3437</v>
      </c>
      <c r="K407" s="2">
        <v>4</v>
      </c>
      <c r="L407" s="2" t="s">
        <v>36</v>
      </c>
      <c r="M407" s="2">
        <v>4</v>
      </c>
      <c r="N407" s="2">
        <v>3</v>
      </c>
      <c r="O407" s="2">
        <v>4</v>
      </c>
      <c r="P407" s="2">
        <v>3</v>
      </c>
      <c r="Q407" s="2" t="s">
        <v>36</v>
      </c>
    </row>
    <row r="408" spans="1:17" x14ac:dyDescent="0.25">
      <c r="A408" s="2" t="s">
        <v>652</v>
      </c>
      <c r="B408" s="2">
        <v>20</v>
      </c>
      <c r="C408" s="2" t="s">
        <v>26</v>
      </c>
      <c r="D408" s="2" t="s">
        <v>19</v>
      </c>
      <c r="E408" s="2" t="s">
        <v>110</v>
      </c>
      <c r="F408" s="2" t="s">
        <v>111</v>
      </c>
      <c r="G408" s="2" t="s">
        <v>81</v>
      </c>
      <c r="H408" s="2">
        <v>1</v>
      </c>
      <c r="I408" s="2" t="s">
        <v>23</v>
      </c>
      <c r="J408" s="2">
        <v>4536</v>
      </c>
      <c r="K408" s="2">
        <v>14</v>
      </c>
      <c r="L408" s="2" t="s">
        <v>24</v>
      </c>
      <c r="M408" s="2">
        <v>1</v>
      </c>
      <c r="N408" s="2">
        <v>2</v>
      </c>
      <c r="O408" s="2">
        <v>3</v>
      </c>
      <c r="P408" s="2">
        <v>5</v>
      </c>
      <c r="Q408" s="2" t="s">
        <v>24</v>
      </c>
    </row>
    <row r="409" spans="1:17" x14ac:dyDescent="0.25">
      <c r="A409" s="2" t="s">
        <v>684</v>
      </c>
      <c r="B409" s="2">
        <v>34</v>
      </c>
      <c r="C409" s="2" t="s">
        <v>26</v>
      </c>
      <c r="D409" s="2" t="s">
        <v>33</v>
      </c>
      <c r="E409" s="2" t="s">
        <v>28</v>
      </c>
      <c r="F409" s="2" t="s">
        <v>64</v>
      </c>
      <c r="G409" s="2" t="s">
        <v>817</v>
      </c>
      <c r="H409" s="2">
        <v>1</v>
      </c>
      <c r="I409" s="2" t="s">
        <v>23</v>
      </c>
      <c r="J409" s="2">
        <v>3887</v>
      </c>
      <c r="K409" s="2">
        <v>3</v>
      </c>
      <c r="L409" s="2" t="s">
        <v>24</v>
      </c>
      <c r="M409" s="2">
        <v>2</v>
      </c>
      <c r="N409" s="2">
        <v>1</v>
      </c>
      <c r="O409" s="2">
        <v>3</v>
      </c>
      <c r="P409" s="2">
        <v>3</v>
      </c>
      <c r="Q409" s="2" t="s">
        <v>24</v>
      </c>
    </row>
    <row r="410" spans="1:17" x14ac:dyDescent="0.25">
      <c r="A410" s="2" t="s">
        <v>916</v>
      </c>
      <c r="B410" s="2">
        <v>21</v>
      </c>
      <c r="C410" s="2" t="s">
        <v>18</v>
      </c>
      <c r="D410" s="2" t="s">
        <v>33</v>
      </c>
      <c r="E410" s="2" t="s">
        <v>20</v>
      </c>
      <c r="F410" s="2" t="s">
        <v>40</v>
      </c>
      <c r="G410" s="2" t="s">
        <v>819</v>
      </c>
      <c r="H410" s="2">
        <v>1</v>
      </c>
      <c r="I410" s="2" t="s">
        <v>23</v>
      </c>
      <c r="J410" s="2">
        <v>4326</v>
      </c>
      <c r="K410" s="2">
        <v>7</v>
      </c>
      <c r="L410" s="2" t="s">
        <v>24</v>
      </c>
      <c r="M410" s="2">
        <v>2</v>
      </c>
      <c r="N410" s="2">
        <v>1</v>
      </c>
      <c r="O410" s="2">
        <v>3</v>
      </c>
      <c r="P410" s="2">
        <v>4</v>
      </c>
      <c r="Q410" s="2" t="s">
        <v>36</v>
      </c>
    </row>
    <row r="411" spans="1:17" x14ac:dyDescent="0.25">
      <c r="A411" s="2" t="s">
        <v>682</v>
      </c>
      <c r="B411" s="2">
        <v>39</v>
      </c>
      <c r="C411" s="2" t="s">
        <v>26</v>
      </c>
      <c r="D411" s="2" t="s">
        <v>33</v>
      </c>
      <c r="E411" s="2" t="s">
        <v>28</v>
      </c>
      <c r="F411" s="2" t="s">
        <v>64</v>
      </c>
      <c r="G411" s="2" t="s">
        <v>821</v>
      </c>
      <c r="H411" s="2">
        <v>5</v>
      </c>
      <c r="I411" s="2" t="s">
        <v>42</v>
      </c>
      <c r="J411" s="2">
        <v>6510</v>
      </c>
      <c r="K411" s="2">
        <v>2</v>
      </c>
      <c r="L411" s="2" t="s">
        <v>36</v>
      </c>
      <c r="M411" s="2">
        <v>4</v>
      </c>
      <c r="N411" s="2">
        <v>3</v>
      </c>
      <c r="O411" s="2">
        <v>4</v>
      </c>
      <c r="P411" s="2">
        <v>4</v>
      </c>
      <c r="Q411" s="2" t="s">
        <v>24</v>
      </c>
    </row>
    <row r="412" spans="1:17" x14ac:dyDescent="0.25">
      <c r="A412" s="2" t="s">
        <v>562</v>
      </c>
      <c r="B412" s="2">
        <v>34</v>
      </c>
      <c r="C412" s="2" t="s">
        <v>18</v>
      </c>
      <c r="D412" s="2" t="s">
        <v>19</v>
      </c>
      <c r="E412" s="2" t="s">
        <v>20</v>
      </c>
      <c r="F412" s="2" t="s">
        <v>44</v>
      </c>
      <c r="G412" s="2" t="s">
        <v>823</v>
      </c>
      <c r="H412" s="2">
        <v>6</v>
      </c>
      <c r="I412" s="2" t="s">
        <v>31</v>
      </c>
      <c r="J412" s="2">
        <v>4318</v>
      </c>
      <c r="K412" s="2">
        <v>6</v>
      </c>
      <c r="L412" s="2" t="s">
        <v>24</v>
      </c>
      <c r="M412" s="2">
        <v>3</v>
      </c>
      <c r="N412" s="2">
        <v>3</v>
      </c>
      <c r="O412" s="2">
        <v>3</v>
      </c>
      <c r="P412" s="2">
        <v>3</v>
      </c>
      <c r="Q412" s="2" t="s">
        <v>24</v>
      </c>
    </row>
    <row r="413" spans="1:17" x14ac:dyDescent="0.25">
      <c r="A413" s="2" t="s">
        <v>217</v>
      </c>
      <c r="B413" s="2">
        <v>39</v>
      </c>
      <c r="C413" s="2" t="s">
        <v>26</v>
      </c>
      <c r="D413" s="2" t="s">
        <v>19</v>
      </c>
      <c r="E413" s="2" t="s">
        <v>28</v>
      </c>
      <c r="F413" s="2" t="s">
        <v>34</v>
      </c>
      <c r="G413" s="2" t="s">
        <v>825</v>
      </c>
      <c r="H413" s="2">
        <v>0</v>
      </c>
      <c r="I413" s="2" t="s">
        <v>23</v>
      </c>
      <c r="J413" s="2">
        <v>3183</v>
      </c>
      <c r="K413" s="2">
        <v>2</v>
      </c>
      <c r="L413" s="2" t="s">
        <v>36</v>
      </c>
      <c r="M413" s="2">
        <v>2</v>
      </c>
      <c r="N413" s="2">
        <v>1</v>
      </c>
      <c r="O413" s="2">
        <v>3</v>
      </c>
      <c r="P413" s="2">
        <v>1</v>
      </c>
      <c r="Q413" s="2" t="s">
        <v>36</v>
      </c>
    </row>
    <row r="414" spans="1:17" x14ac:dyDescent="0.25">
      <c r="A414" s="2" t="s">
        <v>937</v>
      </c>
      <c r="B414" s="2">
        <v>31</v>
      </c>
      <c r="C414" s="2" t="s">
        <v>18</v>
      </c>
      <c r="D414" s="2" t="s">
        <v>19</v>
      </c>
      <c r="E414" s="2" t="s">
        <v>20</v>
      </c>
      <c r="F414" s="2" t="s">
        <v>21</v>
      </c>
      <c r="G414" s="2" t="s">
        <v>827</v>
      </c>
      <c r="H414" s="2">
        <v>9</v>
      </c>
      <c r="I414" s="2" t="s">
        <v>31</v>
      </c>
      <c r="J414" s="2">
        <v>14662</v>
      </c>
      <c r="K414" s="2">
        <v>7</v>
      </c>
      <c r="L414" s="2" t="s">
        <v>36</v>
      </c>
      <c r="M414" s="2">
        <v>3</v>
      </c>
      <c r="N414" s="2">
        <v>3</v>
      </c>
      <c r="O414" s="2">
        <v>3</v>
      </c>
      <c r="P414" s="2">
        <v>5</v>
      </c>
      <c r="Q414" s="2" t="s">
        <v>24</v>
      </c>
    </row>
    <row r="415" spans="1:17" x14ac:dyDescent="0.25">
      <c r="A415" s="2" t="s">
        <v>1059</v>
      </c>
      <c r="B415" s="2">
        <v>29</v>
      </c>
      <c r="C415" s="2" t="s">
        <v>18</v>
      </c>
      <c r="D415" s="2" t="s">
        <v>19</v>
      </c>
      <c r="E415" s="2" t="s">
        <v>28</v>
      </c>
      <c r="F415" s="2" t="s">
        <v>34</v>
      </c>
      <c r="G415" s="2" t="s">
        <v>561</v>
      </c>
      <c r="H415" s="2">
        <v>0</v>
      </c>
      <c r="I415" s="2" t="s">
        <v>23</v>
      </c>
      <c r="J415" s="2">
        <v>3232</v>
      </c>
      <c r="K415" s="2">
        <v>2</v>
      </c>
      <c r="L415" s="2" t="s">
        <v>24</v>
      </c>
      <c r="M415" s="2">
        <v>2</v>
      </c>
      <c r="N415" s="2">
        <v>4</v>
      </c>
      <c r="O415" s="2">
        <v>3</v>
      </c>
      <c r="P415" s="2">
        <v>1</v>
      </c>
      <c r="Q415" s="2" t="s">
        <v>24</v>
      </c>
    </row>
    <row r="416" spans="1:17" x14ac:dyDescent="0.25">
      <c r="A416" s="2" t="s">
        <v>791</v>
      </c>
      <c r="B416" s="2">
        <v>47</v>
      </c>
      <c r="C416" s="2" t="s">
        <v>26</v>
      </c>
      <c r="D416" s="2" t="s">
        <v>19</v>
      </c>
      <c r="E416" s="2" t="s">
        <v>28</v>
      </c>
      <c r="F416" s="2" t="s">
        <v>34</v>
      </c>
      <c r="G416" s="2" t="s">
        <v>830</v>
      </c>
      <c r="H416" s="2">
        <v>6</v>
      </c>
      <c r="I416" s="2" t="s">
        <v>31</v>
      </c>
      <c r="J416" s="2">
        <v>3050</v>
      </c>
      <c r="K416" s="2">
        <v>20</v>
      </c>
      <c r="L416" s="2" t="s">
        <v>36</v>
      </c>
      <c r="M416" s="2">
        <v>4</v>
      </c>
      <c r="N416" s="2">
        <v>4</v>
      </c>
      <c r="O416" s="2">
        <v>3</v>
      </c>
      <c r="P416" s="2">
        <v>2</v>
      </c>
      <c r="Q416" s="2" t="s">
        <v>24</v>
      </c>
    </row>
    <row r="417" spans="1:17" x14ac:dyDescent="0.25">
      <c r="A417" s="2" t="s">
        <v>113</v>
      </c>
      <c r="B417" s="2">
        <v>40</v>
      </c>
      <c r="C417" s="2" t="s">
        <v>18</v>
      </c>
      <c r="D417" s="2" t="s">
        <v>33</v>
      </c>
      <c r="E417" s="2" t="s">
        <v>28</v>
      </c>
      <c r="F417" s="2" t="s">
        <v>29</v>
      </c>
      <c r="G417" s="2" t="s">
        <v>832</v>
      </c>
      <c r="H417" s="2">
        <v>12</v>
      </c>
      <c r="I417" s="2" t="s">
        <v>92</v>
      </c>
      <c r="J417" s="2">
        <v>16584</v>
      </c>
      <c r="K417" s="2">
        <v>3</v>
      </c>
      <c r="L417" s="2" t="s">
        <v>24</v>
      </c>
      <c r="M417" s="2">
        <v>3</v>
      </c>
      <c r="N417" s="2">
        <v>3</v>
      </c>
      <c r="O417" s="2">
        <v>3</v>
      </c>
      <c r="P417" s="2">
        <v>2</v>
      </c>
      <c r="Q417" s="2" t="s">
        <v>24</v>
      </c>
    </row>
    <row r="418" spans="1:17" x14ac:dyDescent="0.25">
      <c r="A418" s="2" t="s">
        <v>166</v>
      </c>
      <c r="B418" s="2">
        <v>41</v>
      </c>
      <c r="C418" s="2" t="s">
        <v>26</v>
      </c>
      <c r="D418" s="2" t="s">
        <v>19</v>
      </c>
      <c r="E418" s="2" t="s">
        <v>28</v>
      </c>
      <c r="F418" s="2" t="s">
        <v>59</v>
      </c>
      <c r="G418" s="2" t="s">
        <v>834</v>
      </c>
      <c r="H418" s="2">
        <v>0</v>
      </c>
      <c r="I418" s="2" t="s">
        <v>23</v>
      </c>
      <c r="J418" s="2">
        <v>7570</v>
      </c>
      <c r="K418" s="2">
        <v>1</v>
      </c>
      <c r="L418" s="2" t="s">
        <v>24</v>
      </c>
      <c r="M418" s="2">
        <v>4</v>
      </c>
      <c r="N418" s="2">
        <v>4</v>
      </c>
      <c r="O418" s="2">
        <v>3</v>
      </c>
      <c r="P418" s="2">
        <v>5</v>
      </c>
      <c r="Q418" s="2" t="s">
        <v>24</v>
      </c>
    </row>
    <row r="419" spans="1:17" x14ac:dyDescent="0.25">
      <c r="A419" s="2" t="s">
        <v>1020</v>
      </c>
      <c r="B419" s="2">
        <v>38</v>
      </c>
      <c r="C419" s="2" t="s">
        <v>26</v>
      </c>
      <c r="D419" s="2" t="s">
        <v>19</v>
      </c>
      <c r="E419" s="2" t="s">
        <v>28</v>
      </c>
      <c r="F419" s="2" t="s">
        <v>64</v>
      </c>
      <c r="G419" s="2" t="s">
        <v>836</v>
      </c>
      <c r="H419" s="2">
        <v>7</v>
      </c>
      <c r="I419" s="2" t="s">
        <v>31</v>
      </c>
      <c r="J419" s="2">
        <v>5954</v>
      </c>
      <c r="K419" s="2">
        <v>14</v>
      </c>
      <c r="L419" s="2" t="s">
        <v>36</v>
      </c>
      <c r="M419" s="2">
        <v>3</v>
      </c>
      <c r="N419" s="2">
        <v>4</v>
      </c>
      <c r="O419" s="2">
        <v>4</v>
      </c>
      <c r="P419" s="2">
        <v>0</v>
      </c>
      <c r="Q419" s="2" t="s">
        <v>24</v>
      </c>
    </row>
    <row r="420" spans="1:17" x14ac:dyDescent="0.25">
      <c r="A420" s="2" t="s">
        <v>784</v>
      </c>
      <c r="B420" s="2">
        <v>40</v>
      </c>
      <c r="C420" s="2" t="s">
        <v>26</v>
      </c>
      <c r="D420" s="2" t="s">
        <v>33</v>
      </c>
      <c r="E420" s="2" t="s">
        <v>20</v>
      </c>
      <c r="F420" s="2" t="s">
        <v>40</v>
      </c>
      <c r="G420" s="2" t="s">
        <v>838</v>
      </c>
      <c r="H420" s="2">
        <v>3</v>
      </c>
      <c r="I420" s="2" t="s">
        <v>42</v>
      </c>
      <c r="J420" s="2">
        <v>4636</v>
      </c>
      <c r="K420" s="2">
        <v>13</v>
      </c>
      <c r="L420" s="2" t="s">
        <v>24</v>
      </c>
      <c r="M420" s="2">
        <v>4</v>
      </c>
      <c r="N420" s="2">
        <v>2</v>
      </c>
      <c r="O420" s="2">
        <v>3</v>
      </c>
      <c r="P420" s="2">
        <v>3</v>
      </c>
      <c r="Q420" s="2" t="s">
        <v>36</v>
      </c>
    </row>
    <row r="421" spans="1:17" x14ac:dyDescent="0.25">
      <c r="A421" s="2" t="s">
        <v>335</v>
      </c>
      <c r="B421" s="2">
        <v>43</v>
      </c>
      <c r="C421" s="2" t="s">
        <v>26</v>
      </c>
      <c r="D421" s="2" t="s">
        <v>19</v>
      </c>
      <c r="E421" s="2" t="s">
        <v>20</v>
      </c>
      <c r="F421" s="2" t="s">
        <v>21</v>
      </c>
      <c r="G421" s="2" t="s">
        <v>840</v>
      </c>
      <c r="H421" s="2">
        <v>3</v>
      </c>
      <c r="I421" s="2" t="s">
        <v>42</v>
      </c>
      <c r="J421" s="2">
        <v>12264</v>
      </c>
      <c r="K421" s="2">
        <v>3</v>
      </c>
      <c r="L421" s="2" t="s">
        <v>36</v>
      </c>
      <c r="M421" s="2">
        <v>4</v>
      </c>
      <c r="N421" s="2">
        <v>3</v>
      </c>
      <c r="O421" s="2">
        <v>3</v>
      </c>
      <c r="P421" s="2">
        <v>0</v>
      </c>
      <c r="Q421" s="2" t="s">
        <v>24</v>
      </c>
    </row>
    <row r="422" spans="1:17" x14ac:dyDescent="0.25">
      <c r="A422" s="2" t="s">
        <v>369</v>
      </c>
      <c r="B422" s="2">
        <v>51</v>
      </c>
      <c r="C422" s="2" t="s">
        <v>26</v>
      </c>
      <c r="D422" s="2" t="s">
        <v>33</v>
      </c>
      <c r="E422" s="2" t="s">
        <v>28</v>
      </c>
      <c r="F422" s="2" t="s">
        <v>64</v>
      </c>
      <c r="G422" s="2" t="s">
        <v>842</v>
      </c>
      <c r="H422" s="2">
        <v>6</v>
      </c>
      <c r="I422" s="2" t="s">
        <v>31</v>
      </c>
      <c r="J422" s="2">
        <v>5365</v>
      </c>
      <c r="K422" s="2">
        <v>5</v>
      </c>
      <c r="L422" s="2" t="s">
        <v>36</v>
      </c>
      <c r="M422" s="2">
        <v>2</v>
      </c>
      <c r="N422" s="2">
        <v>1</v>
      </c>
      <c r="O422" s="2">
        <v>3</v>
      </c>
      <c r="P422" s="2">
        <v>0</v>
      </c>
      <c r="Q422" s="2" t="s">
        <v>36</v>
      </c>
    </row>
    <row r="423" spans="1:17" x14ac:dyDescent="0.25">
      <c r="A423" s="2" t="s">
        <v>52</v>
      </c>
      <c r="B423" s="2">
        <v>28</v>
      </c>
      <c r="C423" s="2" t="s">
        <v>26</v>
      </c>
      <c r="D423" s="2" t="s">
        <v>27</v>
      </c>
      <c r="E423" s="2" t="s">
        <v>28</v>
      </c>
      <c r="F423" s="2" t="s">
        <v>29</v>
      </c>
      <c r="G423" s="2" t="s">
        <v>844</v>
      </c>
      <c r="H423" s="2">
        <v>1</v>
      </c>
      <c r="I423" s="2" t="s">
        <v>23</v>
      </c>
      <c r="J423" s="2">
        <v>9853</v>
      </c>
      <c r="K423" s="2">
        <v>20</v>
      </c>
      <c r="L423" s="2" t="s">
        <v>24</v>
      </c>
      <c r="M423" s="2">
        <v>3</v>
      </c>
      <c r="N423" s="2">
        <v>3</v>
      </c>
      <c r="O423" s="2">
        <v>3</v>
      </c>
      <c r="P423" s="2">
        <v>0</v>
      </c>
      <c r="Q423" s="2" t="s">
        <v>24</v>
      </c>
    </row>
    <row r="424" spans="1:17" x14ac:dyDescent="0.25">
      <c r="A424" s="2" t="s">
        <v>699</v>
      </c>
      <c r="B424" s="2">
        <v>37</v>
      </c>
      <c r="C424" s="2" t="s">
        <v>18</v>
      </c>
      <c r="D424" s="2" t="s">
        <v>19</v>
      </c>
      <c r="E424" s="2" t="s">
        <v>28</v>
      </c>
      <c r="F424" s="2" t="s">
        <v>34</v>
      </c>
      <c r="G424" s="2" t="s">
        <v>846</v>
      </c>
      <c r="H424" s="2">
        <v>2</v>
      </c>
      <c r="I424" s="2" t="s">
        <v>23</v>
      </c>
      <c r="J424" s="2">
        <v>3253</v>
      </c>
      <c r="K424" s="2">
        <v>9</v>
      </c>
      <c r="L424" s="2" t="s">
        <v>24</v>
      </c>
      <c r="M424" s="2">
        <v>2</v>
      </c>
      <c r="N424" s="2">
        <v>3</v>
      </c>
      <c r="O424" s="2">
        <v>3</v>
      </c>
      <c r="P424" s="2">
        <v>4</v>
      </c>
      <c r="Q424" s="2" t="s">
        <v>24</v>
      </c>
    </row>
    <row r="425" spans="1:17" x14ac:dyDescent="0.25">
      <c r="A425" s="2" t="s">
        <v>383</v>
      </c>
      <c r="B425" s="2">
        <v>40</v>
      </c>
      <c r="C425" s="2" t="s">
        <v>26</v>
      </c>
      <c r="D425" s="2" t="s">
        <v>33</v>
      </c>
      <c r="E425" s="2" t="s">
        <v>20</v>
      </c>
      <c r="F425" s="2" t="s">
        <v>40</v>
      </c>
      <c r="G425" s="2" t="s">
        <v>310</v>
      </c>
      <c r="H425" s="2">
        <v>2</v>
      </c>
      <c r="I425" s="2" t="s">
        <v>23</v>
      </c>
      <c r="J425" s="2">
        <v>3629</v>
      </c>
      <c r="K425" s="2">
        <v>3</v>
      </c>
      <c r="L425" s="2" t="s">
        <v>24</v>
      </c>
      <c r="M425" s="2">
        <v>2</v>
      </c>
      <c r="N425" s="2">
        <v>3</v>
      </c>
      <c r="O425" s="2">
        <v>3</v>
      </c>
      <c r="P425" s="2">
        <v>0</v>
      </c>
      <c r="Q425" s="2" t="s">
        <v>36</v>
      </c>
    </row>
    <row r="426" spans="1:17" x14ac:dyDescent="0.25">
      <c r="A426" s="2" t="s">
        <v>240</v>
      </c>
      <c r="B426" s="2">
        <v>41</v>
      </c>
      <c r="C426" s="2" t="s">
        <v>26</v>
      </c>
      <c r="D426" s="2" t="s">
        <v>27</v>
      </c>
      <c r="E426" s="2" t="s">
        <v>28</v>
      </c>
      <c r="F426" s="2" t="s">
        <v>59</v>
      </c>
      <c r="G426" s="2" t="s">
        <v>849</v>
      </c>
      <c r="H426" s="2">
        <v>0</v>
      </c>
      <c r="I426" s="2" t="s">
        <v>23</v>
      </c>
      <c r="J426" s="2">
        <v>6370</v>
      </c>
      <c r="K426" s="2">
        <v>1</v>
      </c>
      <c r="L426" s="2" t="s">
        <v>36</v>
      </c>
      <c r="M426" s="2">
        <v>3</v>
      </c>
      <c r="N426" s="2">
        <v>3</v>
      </c>
      <c r="O426" s="2">
        <v>3</v>
      </c>
      <c r="P426" s="2">
        <v>0</v>
      </c>
      <c r="Q426" s="2" t="s">
        <v>36</v>
      </c>
    </row>
    <row r="427" spans="1:17" x14ac:dyDescent="0.25">
      <c r="A427" s="2" t="s">
        <v>971</v>
      </c>
      <c r="B427" s="2">
        <v>37</v>
      </c>
      <c r="C427" s="2" t="s">
        <v>18</v>
      </c>
      <c r="D427" s="2" t="s">
        <v>27</v>
      </c>
      <c r="E427" s="2" t="s">
        <v>28</v>
      </c>
      <c r="F427" s="2" t="s">
        <v>34</v>
      </c>
      <c r="G427" s="2" t="s">
        <v>255</v>
      </c>
      <c r="H427" s="2">
        <v>2</v>
      </c>
      <c r="I427" s="2" t="s">
        <v>23</v>
      </c>
      <c r="J427" s="2">
        <v>3067</v>
      </c>
      <c r="K427" s="2">
        <v>6</v>
      </c>
      <c r="L427" s="2" t="s">
        <v>24</v>
      </c>
      <c r="M427" s="2">
        <v>1</v>
      </c>
      <c r="N427" s="2">
        <v>2</v>
      </c>
      <c r="O427" s="2">
        <v>3</v>
      </c>
      <c r="P427" s="2">
        <v>4</v>
      </c>
      <c r="Q427" s="2" t="s">
        <v>24</v>
      </c>
    </row>
    <row r="428" spans="1:17" x14ac:dyDescent="0.25">
      <c r="A428" s="2" t="s">
        <v>904</v>
      </c>
      <c r="B428" s="2">
        <v>20</v>
      </c>
      <c r="C428" s="2" t="s">
        <v>26</v>
      </c>
      <c r="D428" s="2" t="s">
        <v>33</v>
      </c>
      <c r="E428" s="2" t="s">
        <v>110</v>
      </c>
      <c r="F428" s="2" t="s">
        <v>128</v>
      </c>
      <c r="G428" s="2" t="s">
        <v>852</v>
      </c>
      <c r="H428" s="2">
        <v>7</v>
      </c>
      <c r="I428" s="2" t="s">
        <v>31</v>
      </c>
      <c r="J428" s="2">
        <v>12463</v>
      </c>
      <c r="K428" s="2">
        <v>3</v>
      </c>
      <c r="L428" s="2" t="s">
        <v>36</v>
      </c>
      <c r="M428" s="2">
        <v>3</v>
      </c>
      <c r="N428" s="2">
        <v>3</v>
      </c>
      <c r="O428" s="2">
        <v>3</v>
      </c>
      <c r="P428" s="2">
        <v>2</v>
      </c>
      <c r="Q428" s="2" t="s">
        <v>24</v>
      </c>
    </row>
    <row r="429" spans="1:17" x14ac:dyDescent="0.25">
      <c r="A429" s="2" t="s">
        <v>281</v>
      </c>
      <c r="B429" s="2">
        <v>20</v>
      </c>
      <c r="C429" s="2" t="s">
        <v>26</v>
      </c>
      <c r="D429" s="2" t="s">
        <v>19</v>
      </c>
      <c r="E429" s="2" t="s">
        <v>28</v>
      </c>
      <c r="F429" s="2" t="s">
        <v>64</v>
      </c>
      <c r="G429" s="2" t="s">
        <v>854</v>
      </c>
      <c r="H429" s="2">
        <v>7</v>
      </c>
      <c r="I429" s="2" t="s">
        <v>31</v>
      </c>
      <c r="J429" s="2">
        <v>6046</v>
      </c>
      <c r="K429" s="2">
        <v>8</v>
      </c>
      <c r="L429" s="2" t="s">
        <v>36</v>
      </c>
      <c r="M429" s="2">
        <v>4</v>
      </c>
      <c r="N429" s="2">
        <v>3</v>
      </c>
      <c r="O429" s="2">
        <v>3</v>
      </c>
      <c r="P429" s="2">
        <v>2</v>
      </c>
      <c r="Q429" s="2" t="s">
        <v>24</v>
      </c>
    </row>
    <row r="430" spans="1:17" x14ac:dyDescent="0.25">
      <c r="A430" s="2" t="s">
        <v>780</v>
      </c>
      <c r="B430" s="2">
        <v>31</v>
      </c>
      <c r="C430" s="2" t="s">
        <v>18</v>
      </c>
      <c r="D430" s="2" t="s">
        <v>33</v>
      </c>
      <c r="E430" s="2" t="s">
        <v>28</v>
      </c>
      <c r="F430" s="2" t="s">
        <v>34</v>
      </c>
      <c r="G430" s="2" t="s">
        <v>856</v>
      </c>
      <c r="H430" s="2">
        <v>10</v>
      </c>
      <c r="I430" s="2" t="s">
        <v>31</v>
      </c>
      <c r="J430" s="2">
        <v>3822</v>
      </c>
      <c r="K430" s="2">
        <v>3</v>
      </c>
      <c r="L430" s="2" t="s">
        <v>24</v>
      </c>
      <c r="M430" s="2">
        <v>2</v>
      </c>
      <c r="N430" s="2">
        <v>4</v>
      </c>
      <c r="O430" s="2">
        <v>3</v>
      </c>
      <c r="P430" s="2">
        <v>5</v>
      </c>
      <c r="Q430" s="2" t="s">
        <v>24</v>
      </c>
    </row>
    <row r="431" spans="1:17" x14ac:dyDescent="0.25">
      <c r="A431" s="2" t="s">
        <v>959</v>
      </c>
      <c r="B431" s="2">
        <v>49</v>
      </c>
      <c r="C431" s="2" t="s">
        <v>26</v>
      </c>
      <c r="D431" s="2" t="s">
        <v>33</v>
      </c>
      <c r="E431" s="2" t="s">
        <v>20</v>
      </c>
      <c r="F431" s="2" t="s">
        <v>40</v>
      </c>
      <c r="G431" s="2" t="s">
        <v>858</v>
      </c>
      <c r="H431" s="2">
        <v>2</v>
      </c>
      <c r="I431" s="2" t="s">
        <v>23</v>
      </c>
      <c r="J431" s="2">
        <v>4253</v>
      </c>
      <c r="K431" s="2">
        <v>2</v>
      </c>
      <c r="L431" s="2" t="s">
        <v>24</v>
      </c>
      <c r="M431" s="2">
        <v>2</v>
      </c>
      <c r="N431" s="2">
        <v>4</v>
      </c>
      <c r="O431" s="2">
        <v>3</v>
      </c>
      <c r="P431" s="2">
        <v>0</v>
      </c>
      <c r="Q431" s="2" t="s">
        <v>24</v>
      </c>
    </row>
    <row r="432" spans="1:17" x14ac:dyDescent="0.25">
      <c r="A432" s="2" t="s">
        <v>647</v>
      </c>
      <c r="B432" s="2">
        <v>40</v>
      </c>
      <c r="C432" s="2" t="s">
        <v>18</v>
      </c>
      <c r="D432" s="2" t="s">
        <v>19</v>
      </c>
      <c r="E432" s="2" t="s">
        <v>20</v>
      </c>
      <c r="F432" s="2" t="s">
        <v>44</v>
      </c>
      <c r="G432" s="2" t="s">
        <v>860</v>
      </c>
      <c r="H432" s="2">
        <v>0</v>
      </c>
      <c r="I432" s="2" t="s">
        <v>23</v>
      </c>
      <c r="J432" s="2">
        <v>6293</v>
      </c>
      <c r="K432" s="2">
        <v>3</v>
      </c>
      <c r="L432" s="2" t="s">
        <v>24</v>
      </c>
      <c r="M432" s="2">
        <v>2</v>
      </c>
      <c r="N432" s="2">
        <v>2</v>
      </c>
      <c r="O432" s="2">
        <v>3</v>
      </c>
      <c r="P432" s="2">
        <v>4</v>
      </c>
      <c r="Q432" s="2" t="s">
        <v>24</v>
      </c>
    </row>
    <row r="433" spans="1:17" x14ac:dyDescent="0.25">
      <c r="A433" s="2" t="s">
        <v>1043</v>
      </c>
      <c r="B433" s="2">
        <v>34</v>
      </c>
      <c r="C433" s="2" t="s">
        <v>26</v>
      </c>
      <c r="D433" s="2" t="s">
        <v>33</v>
      </c>
      <c r="E433" s="2" t="s">
        <v>20</v>
      </c>
      <c r="F433" s="2" t="s">
        <v>44</v>
      </c>
      <c r="G433" s="2" t="s">
        <v>478</v>
      </c>
      <c r="H433" s="2">
        <v>0</v>
      </c>
      <c r="I433" s="2" t="s">
        <v>23</v>
      </c>
      <c r="J433" s="2">
        <v>5951</v>
      </c>
      <c r="K433" s="2">
        <v>19</v>
      </c>
      <c r="L433" s="2" t="s">
        <v>24</v>
      </c>
      <c r="M433" s="2">
        <v>2</v>
      </c>
      <c r="N433" s="2">
        <v>3</v>
      </c>
      <c r="O433" s="2">
        <v>3</v>
      </c>
      <c r="P433" s="2">
        <v>2</v>
      </c>
      <c r="Q433" s="2" t="s">
        <v>24</v>
      </c>
    </row>
    <row r="434" spans="1:17" x14ac:dyDescent="0.25">
      <c r="A434" s="2" t="s">
        <v>805</v>
      </c>
      <c r="B434" s="2">
        <v>38</v>
      </c>
      <c r="C434" s="2" t="s">
        <v>18</v>
      </c>
      <c r="D434" s="2" t="s">
        <v>19</v>
      </c>
      <c r="E434" s="2" t="s">
        <v>20</v>
      </c>
      <c r="F434" s="2" t="s">
        <v>21</v>
      </c>
      <c r="G434" s="2" t="s">
        <v>863</v>
      </c>
      <c r="H434" s="2">
        <v>1</v>
      </c>
      <c r="I434" s="2" t="s">
        <v>23</v>
      </c>
      <c r="J434" s="2">
        <v>13810</v>
      </c>
      <c r="K434" s="2">
        <v>3</v>
      </c>
      <c r="L434" s="2" t="s">
        <v>24</v>
      </c>
      <c r="M434" s="2">
        <v>2</v>
      </c>
      <c r="N434" s="2">
        <v>1</v>
      </c>
      <c r="O434" s="2">
        <v>3</v>
      </c>
      <c r="P434" s="2">
        <v>2</v>
      </c>
      <c r="Q434" s="2" t="s">
        <v>36</v>
      </c>
    </row>
    <row r="435" spans="1:17" x14ac:dyDescent="0.25">
      <c r="A435" s="2" t="s">
        <v>242</v>
      </c>
      <c r="B435" s="2">
        <v>31</v>
      </c>
      <c r="C435" s="2" t="s">
        <v>18</v>
      </c>
      <c r="D435" s="2" t="s">
        <v>33</v>
      </c>
      <c r="E435" s="2" t="s">
        <v>20</v>
      </c>
      <c r="F435" s="2" t="s">
        <v>40</v>
      </c>
      <c r="G435" s="2" t="s">
        <v>865</v>
      </c>
      <c r="H435" s="2">
        <v>3</v>
      </c>
      <c r="I435" s="2" t="s">
        <v>42</v>
      </c>
      <c r="J435" s="2">
        <v>3514</v>
      </c>
      <c r="K435" s="2">
        <v>1</v>
      </c>
      <c r="L435" s="2" t="s">
        <v>36</v>
      </c>
      <c r="M435" s="2">
        <v>4</v>
      </c>
      <c r="N435" s="2">
        <v>2</v>
      </c>
      <c r="O435" s="2">
        <v>4</v>
      </c>
      <c r="P435" s="2">
        <v>4</v>
      </c>
      <c r="Q435" s="2" t="s">
        <v>24</v>
      </c>
    </row>
    <row r="436" spans="1:17" x14ac:dyDescent="0.25">
      <c r="A436" s="2" t="s">
        <v>381</v>
      </c>
      <c r="B436" s="2">
        <v>21</v>
      </c>
      <c r="C436" s="2" t="s">
        <v>18</v>
      </c>
      <c r="D436" s="2" t="s">
        <v>19</v>
      </c>
      <c r="E436" s="2" t="s">
        <v>110</v>
      </c>
      <c r="F436" s="2" t="s">
        <v>128</v>
      </c>
      <c r="G436" s="2" t="s">
        <v>867</v>
      </c>
      <c r="H436" s="2">
        <v>6</v>
      </c>
      <c r="I436" s="2" t="s">
        <v>31</v>
      </c>
      <c r="J436" s="2">
        <v>12512</v>
      </c>
      <c r="K436" s="2">
        <v>5</v>
      </c>
      <c r="L436" s="2" t="s">
        <v>24</v>
      </c>
      <c r="M436" s="2">
        <v>4</v>
      </c>
      <c r="N436" s="2">
        <v>2</v>
      </c>
      <c r="O436" s="2">
        <v>3</v>
      </c>
      <c r="P436" s="2">
        <v>2</v>
      </c>
      <c r="Q436" s="2" t="s">
        <v>24</v>
      </c>
    </row>
    <row r="437" spans="1:17" x14ac:dyDescent="0.25">
      <c r="A437" s="2" t="s">
        <v>576</v>
      </c>
      <c r="B437" s="2">
        <v>41</v>
      </c>
      <c r="C437" s="2" t="s">
        <v>26</v>
      </c>
      <c r="D437" s="2" t="s">
        <v>19</v>
      </c>
      <c r="E437" s="2" t="s">
        <v>110</v>
      </c>
      <c r="F437" s="2" t="s">
        <v>189</v>
      </c>
      <c r="G437" s="2" t="s">
        <v>869</v>
      </c>
      <c r="H437" s="2">
        <v>4</v>
      </c>
      <c r="I437" s="2" t="s">
        <v>42</v>
      </c>
      <c r="J437" s="2">
        <v>5055</v>
      </c>
      <c r="K437" s="2">
        <v>10</v>
      </c>
      <c r="L437" s="2" t="s">
        <v>24</v>
      </c>
      <c r="M437" s="2">
        <v>2</v>
      </c>
      <c r="N437" s="2">
        <v>2</v>
      </c>
      <c r="O437" s="2">
        <v>3</v>
      </c>
      <c r="P437" s="2">
        <v>1</v>
      </c>
      <c r="Q437" s="2" t="s">
        <v>24</v>
      </c>
    </row>
    <row r="438" spans="1:17" x14ac:dyDescent="0.25">
      <c r="A438" s="2" t="s">
        <v>712</v>
      </c>
      <c r="B438" s="2">
        <v>41</v>
      </c>
      <c r="C438" s="2" t="s">
        <v>26</v>
      </c>
      <c r="D438" s="2" t="s">
        <v>33</v>
      </c>
      <c r="E438" s="2" t="s">
        <v>20</v>
      </c>
      <c r="F438" s="2" t="s">
        <v>40</v>
      </c>
      <c r="G438" s="2" t="s">
        <v>871</v>
      </c>
      <c r="H438" s="2">
        <v>1</v>
      </c>
      <c r="I438" s="2" t="s">
        <v>23</v>
      </c>
      <c r="J438" s="2">
        <v>3925</v>
      </c>
      <c r="K438" s="2">
        <v>16</v>
      </c>
      <c r="L438" s="2" t="s">
        <v>24</v>
      </c>
      <c r="M438" s="2">
        <v>3</v>
      </c>
      <c r="N438" s="2">
        <v>4</v>
      </c>
      <c r="O438" s="2">
        <v>3</v>
      </c>
      <c r="P438" s="2">
        <v>1</v>
      </c>
      <c r="Q438" s="2" t="s">
        <v>24</v>
      </c>
    </row>
    <row r="439" spans="1:17" x14ac:dyDescent="0.25">
      <c r="A439" s="2" t="s">
        <v>882</v>
      </c>
      <c r="B439" s="2">
        <v>35</v>
      </c>
      <c r="C439" s="2" t="s">
        <v>18</v>
      </c>
      <c r="D439" s="2" t="s">
        <v>19</v>
      </c>
      <c r="E439" s="2" t="s">
        <v>28</v>
      </c>
      <c r="F439" s="2" t="s">
        <v>34</v>
      </c>
      <c r="G439" s="2" t="s">
        <v>873</v>
      </c>
      <c r="H439" s="2">
        <v>8</v>
      </c>
      <c r="I439" s="2" t="s">
        <v>31</v>
      </c>
      <c r="J439" s="2">
        <v>4068</v>
      </c>
      <c r="K439" s="2">
        <v>1</v>
      </c>
      <c r="L439" s="2" t="s">
        <v>24</v>
      </c>
      <c r="M439" s="2">
        <v>4</v>
      </c>
      <c r="N439" s="2">
        <v>4</v>
      </c>
      <c r="O439" s="2">
        <v>3</v>
      </c>
      <c r="P439" s="2">
        <v>5</v>
      </c>
      <c r="Q439" s="2" t="s">
        <v>24</v>
      </c>
    </row>
    <row r="440" spans="1:17" x14ac:dyDescent="0.25">
      <c r="A440" s="2" t="s">
        <v>672</v>
      </c>
      <c r="B440" s="2">
        <v>33</v>
      </c>
      <c r="C440" s="2" t="s">
        <v>26</v>
      </c>
      <c r="D440" s="2" t="s">
        <v>27</v>
      </c>
      <c r="E440" s="2" t="s">
        <v>28</v>
      </c>
      <c r="F440" s="2" t="s">
        <v>29</v>
      </c>
      <c r="G440" s="2" t="s">
        <v>875</v>
      </c>
      <c r="H440" s="2">
        <v>1</v>
      </c>
      <c r="I440" s="2" t="s">
        <v>23</v>
      </c>
      <c r="J440" s="2">
        <v>12625</v>
      </c>
      <c r="K440" s="2">
        <v>1</v>
      </c>
      <c r="L440" s="2" t="s">
        <v>36</v>
      </c>
      <c r="M440" s="2">
        <v>2</v>
      </c>
      <c r="N440" s="2">
        <v>4</v>
      </c>
      <c r="O440" s="2">
        <v>3</v>
      </c>
      <c r="P440" s="2">
        <v>1</v>
      </c>
      <c r="Q440" s="2" t="s">
        <v>36</v>
      </c>
    </row>
    <row r="441" spans="1:17" x14ac:dyDescent="0.25">
      <c r="A441" s="2" t="s">
        <v>343</v>
      </c>
      <c r="B441" s="2">
        <v>28</v>
      </c>
      <c r="C441" s="2" t="s">
        <v>18</v>
      </c>
      <c r="D441" s="2" t="s">
        <v>19</v>
      </c>
      <c r="E441" s="2" t="s">
        <v>110</v>
      </c>
      <c r="F441" s="2" t="s">
        <v>111</v>
      </c>
      <c r="G441" s="2" t="s">
        <v>877</v>
      </c>
      <c r="H441" s="2">
        <v>1</v>
      </c>
      <c r="I441" s="2" t="s">
        <v>23</v>
      </c>
      <c r="J441" s="2">
        <v>4061</v>
      </c>
      <c r="K441" s="2">
        <v>6</v>
      </c>
      <c r="L441" s="2" t="s">
        <v>36</v>
      </c>
      <c r="M441" s="2">
        <v>4</v>
      </c>
      <c r="N441" s="2">
        <v>3</v>
      </c>
      <c r="O441" s="2">
        <v>3</v>
      </c>
      <c r="P441" s="2">
        <v>3</v>
      </c>
      <c r="Q441" s="2" t="s">
        <v>36</v>
      </c>
    </row>
    <row r="442" spans="1:17" x14ac:dyDescent="0.25">
      <c r="A442" s="2" t="s">
        <v>639</v>
      </c>
      <c r="B442" s="2">
        <v>46</v>
      </c>
      <c r="C442" s="2" t="s">
        <v>18</v>
      </c>
      <c r="D442" s="2" t="s">
        <v>19</v>
      </c>
      <c r="E442" s="2" t="s">
        <v>28</v>
      </c>
      <c r="F442" s="2" t="s">
        <v>34</v>
      </c>
      <c r="G442" s="2" t="s">
        <v>879</v>
      </c>
      <c r="H442" s="2">
        <v>3</v>
      </c>
      <c r="I442" s="2" t="s">
        <v>42</v>
      </c>
      <c r="J442" s="2">
        <v>3521</v>
      </c>
      <c r="K442" s="2">
        <v>1</v>
      </c>
      <c r="L442" s="2" t="s">
        <v>24</v>
      </c>
      <c r="M442" s="2">
        <v>2</v>
      </c>
      <c r="N442" s="2">
        <v>3</v>
      </c>
      <c r="O442" s="2">
        <v>3</v>
      </c>
      <c r="P442" s="2">
        <v>3</v>
      </c>
      <c r="Q442" s="2" t="s">
        <v>24</v>
      </c>
    </row>
    <row r="443" spans="1:17" x14ac:dyDescent="0.25">
      <c r="A443" s="2" t="s">
        <v>807</v>
      </c>
      <c r="B443" s="2">
        <v>21</v>
      </c>
      <c r="C443" s="2" t="s">
        <v>26</v>
      </c>
      <c r="D443" s="2" t="s">
        <v>19</v>
      </c>
      <c r="E443" s="2" t="s">
        <v>28</v>
      </c>
      <c r="F443" s="2" t="s">
        <v>34</v>
      </c>
      <c r="G443" s="2" t="s">
        <v>881</v>
      </c>
      <c r="H443" s="2">
        <v>2</v>
      </c>
      <c r="I443" s="2" t="s">
        <v>23</v>
      </c>
      <c r="J443" s="2">
        <v>3287</v>
      </c>
      <c r="K443" s="2">
        <v>3</v>
      </c>
      <c r="L443" s="2" t="s">
        <v>24</v>
      </c>
      <c r="M443" s="2">
        <v>4</v>
      </c>
      <c r="N443" s="2">
        <v>3</v>
      </c>
      <c r="O443" s="2">
        <v>4</v>
      </c>
      <c r="P443" s="2">
        <v>0</v>
      </c>
      <c r="Q443" s="2" t="s">
        <v>36</v>
      </c>
    </row>
    <row r="444" spans="1:17" x14ac:dyDescent="0.25">
      <c r="A444" s="2" t="s">
        <v>969</v>
      </c>
      <c r="B444" s="2">
        <v>44</v>
      </c>
      <c r="C444" s="2" t="s">
        <v>26</v>
      </c>
      <c r="D444" s="2" t="s">
        <v>27</v>
      </c>
      <c r="E444" s="2" t="s">
        <v>28</v>
      </c>
      <c r="F444" s="2" t="s">
        <v>29</v>
      </c>
      <c r="G444" s="2" t="s">
        <v>883</v>
      </c>
      <c r="H444" s="2">
        <v>1</v>
      </c>
      <c r="I444" s="2" t="s">
        <v>23</v>
      </c>
      <c r="J444" s="2">
        <v>12726</v>
      </c>
      <c r="K444" s="2">
        <v>12</v>
      </c>
      <c r="L444" s="2" t="s">
        <v>24</v>
      </c>
      <c r="M444" s="2">
        <v>2</v>
      </c>
      <c r="N444" s="2">
        <v>3</v>
      </c>
      <c r="O444" s="2">
        <v>4</v>
      </c>
      <c r="P444" s="2">
        <v>2</v>
      </c>
      <c r="Q444" s="2" t="s">
        <v>24</v>
      </c>
    </row>
    <row r="445" spans="1:17" x14ac:dyDescent="0.25">
      <c r="A445" s="2" t="s">
        <v>896</v>
      </c>
      <c r="B445" s="2">
        <v>37</v>
      </c>
      <c r="C445" s="2" t="s">
        <v>18</v>
      </c>
      <c r="D445" s="2" t="s">
        <v>33</v>
      </c>
      <c r="E445" s="2" t="s">
        <v>110</v>
      </c>
      <c r="F445" s="2" t="s">
        <v>128</v>
      </c>
      <c r="G445" s="2" t="s">
        <v>885</v>
      </c>
      <c r="H445" s="2">
        <v>1</v>
      </c>
      <c r="I445" s="2" t="s">
        <v>23</v>
      </c>
      <c r="J445" s="2">
        <v>9554</v>
      </c>
      <c r="K445" s="2">
        <v>16</v>
      </c>
      <c r="L445" s="2" t="s">
        <v>24</v>
      </c>
      <c r="M445" s="2">
        <v>2</v>
      </c>
      <c r="N445" s="2">
        <v>2</v>
      </c>
      <c r="O445" s="2">
        <v>3</v>
      </c>
      <c r="P445" s="2">
        <v>1</v>
      </c>
      <c r="Q445" s="2" t="s">
        <v>24</v>
      </c>
    </row>
    <row r="446" spans="1:17" x14ac:dyDescent="0.25">
      <c r="A446" s="2" t="s">
        <v>908</v>
      </c>
      <c r="B446" s="2">
        <v>36</v>
      </c>
      <c r="C446" s="2" t="s">
        <v>18</v>
      </c>
      <c r="D446" s="2" t="s">
        <v>19</v>
      </c>
      <c r="E446" s="2" t="s">
        <v>20</v>
      </c>
      <c r="F446" s="2" t="s">
        <v>40</v>
      </c>
      <c r="G446" s="2" t="s">
        <v>887</v>
      </c>
      <c r="H446" s="2">
        <v>9</v>
      </c>
      <c r="I446" s="2" t="s">
        <v>31</v>
      </c>
      <c r="J446" s="2">
        <v>4006</v>
      </c>
      <c r="K446" s="2">
        <v>30</v>
      </c>
      <c r="L446" s="2" t="s">
        <v>36</v>
      </c>
      <c r="M446" s="2">
        <v>4</v>
      </c>
      <c r="N446" s="2">
        <v>1</v>
      </c>
      <c r="O446" s="2">
        <v>3</v>
      </c>
      <c r="P446" s="2">
        <v>3</v>
      </c>
      <c r="Q446" s="2" t="s">
        <v>24</v>
      </c>
    </row>
    <row r="447" spans="1:17" x14ac:dyDescent="0.25">
      <c r="A447" s="2" t="s">
        <v>405</v>
      </c>
      <c r="B447" s="2">
        <v>30</v>
      </c>
      <c r="C447" s="2" t="s">
        <v>26</v>
      </c>
      <c r="D447" s="2" t="s">
        <v>19</v>
      </c>
      <c r="E447" s="2" t="s">
        <v>20</v>
      </c>
      <c r="F447" s="2" t="s">
        <v>21</v>
      </c>
      <c r="G447" s="2" t="s">
        <v>889</v>
      </c>
      <c r="H447" s="2">
        <v>11</v>
      </c>
      <c r="I447" s="2" t="s">
        <v>92</v>
      </c>
      <c r="J447" s="2">
        <v>12211</v>
      </c>
      <c r="K447" s="2">
        <v>1</v>
      </c>
      <c r="L447" s="2" t="s">
        <v>24</v>
      </c>
      <c r="M447" s="2">
        <v>2</v>
      </c>
      <c r="N447" s="2">
        <v>2</v>
      </c>
      <c r="O447" s="2">
        <v>3</v>
      </c>
      <c r="P447" s="2">
        <v>5</v>
      </c>
      <c r="Q447" s="2" t="s">
        <v>24</v>
      </c>
    </row>
    <row r="448" spans="1:17" x14ac:dyDescent="0.25">
      <c r="A448" s="2" t="s">
        <v>727</v>
      </c>
      <c r="B448" s="2">
        <v>27</v>
      </c>
      <c r="C448" s="2" t="s">
        <v>26</v>
      </c>
      <c r="D448" s="2" t="s">
        <v>33</v>
      </c>
      <c r="E448" s="2" t="s">
        <v>28</v>
      </c>
      <c r="F448" s="2" t="s">
        <v>29</v>
      </c>
      <c r="G448" s="2" t="s">
        <v>891</v>
      </c>
      <c r="H448" s="2">
        <v>2</v>
      </c>
      <c r="I448" s="2" t="s">
        <v>23</v>
      </c>
      <c r="J448" s="2">
        <v>12118</v>
      </c>
      <c r="K448" s="2">
        <v>7</v>
      </c>
      <c r="L448" s="2" t="s">
        <v>24</v>
      </c>
      <c r="M448" s="2">
        <v>3</v>
      </c>
      <c r="N448" s="2">
        <v>4</v>
      </c>
      <c r="O448" s="2">
        <v>3</v>
      </c>
      <c r="P448" s="2">
        <v>5</v>
      </c>
      <c r="Q448" s="2" t="s">
        <v>36</v>
      </c>
    </row>
    <row r="449" spans="1:17" x14ac:dyDescent="0.25">
      <c r="A449" s="2" t="s">
        <v>415</v>
      </c>
      <c r="B449" s="2">
        <v>23</v>
      </c>
      <c r="C449" s="2" t="s">
        <v>18</v>
      </c>
      <c r="D449" s="2" t="s">
        <v>33</v>
      </c>
      <c r="E449" s="2" t="s">
        <v>28</v>
      </c>
      <c r="F449" s="2" t="s">
        <v>64</v>
      </c>
      <c r="G449" s="2" t="s">
        <v>893</v>
      </c>
      <c r="H449" s="2">
        <v>2</v>
      </c>
      <c r="I449" s="2" t="s">
        <v>23</v>
      </c>
      <c r="J449" s="2">
        <v>5273</v>
      </c>
      <c r="K449" s="2">
        <v>1</v>
      </c>
      <c r="L449" s="2" t="s">
        <v>36</v>
      </c>
      <c r="M449" s="2">
        <v>2</v>
      </c>
      <c r="N449" s="2">
        <v>3</v>
      </c>
      <c r="O449" s="2">
        <v>3</v>
      </c>
      <c r="P449" s="2">
        <v>0</v>
      </c>
      <c r="Q449" s="2" t="s">
        <v>36</v>
      </c>
    </row>
    <row r="450" spans="1:17" x14ac:dyDescent="0.25">
      <c r="A450" s="2" t="s">
        <v>853</v>
      </c>
      <c r="B450" s="2">
        <v>37</v>
      </c>
      <c r="C450" s="2" t="s">
        <v>18</v>
      </c>
      <c r="D450" s="2" t="s">
        <v>27</v>
      </c>
      <c r="E450" s="2" t="s">
        <v>20</v>
      </c>
      <c r="F450" s="2" t="s">
        <v>21</v>
      </c>
      <c r="G450" s="2" t="s">
        <v>895</v>
      </c>
      <c r="H450" s="2">
        <v>1</v>
      </c>
      <c r="I450" s="2" t="s">
        <v>23</v>
      </c>
      <c r="J450" s="2">
        <v>8919</v>
      </c>
      <c r="K450" s="2">
        <v>24</v>
      </c>
      <c r="L450" s="2" t="s">
        <v>24</v>
      </c>
      <c r="M450" s="2">
        <v>4</v>
      </c>
      <c r="N450" s="2">
        <v>3</v>
      </c>
      <c r="O450" s="2">
        <v>3</v>
      </c>
      <c r="P450" s="2">
        <v>3</v>
      </c>
      <c r="Q450" s="2" t="s">
        <v>36</v>
      </c>
    </row>
    <row r="451" spans="1:17" x14ac:dyDescent="0.25">
      <c r="A451" s="2" t="s">
        <v>1008</v>
      </c>
      <c r="B451" s="2">
        <v>30</v>
      </c>
      <c r="C451" s="2" t="s">
        <v>26</v>
      </c>
      <c r="D451" s="2" t="s">
        <v>19</v>
      </c>
      <c r="E451" s="2" t="s">
        <v>20</v>
      </c>
      <c r="F451" s="2" t="s">
        <v>40</v>
      </c>
      <c r="G451" s="2" t="s">
        <v>897</v>
      </c>
      <c r="H451" s="2">
        <v>1</v>
      </c>
      <c r="I451" s="2" t="s">
        <v>23</v>
      </c>
      <c r="J451" s="2">
        <v>3540</v>
      </c>
      <c r="K451" s="2">
        <v>14</v>
      </c>
      <c r="L451" s="2" t="s">
        <v>24</v>
      </c>
      <c r="M451" s="2">
        <v>3</v>
      </c>
      <c r="N451" s="2">
        <v>3</v>
      </c>
      <c r="O451" s="2">
        <v>3</v>
      </c>
      <c r="P451" s="2">
        <v>1</v>
      </c>
      <c r="Q451" s="2" t="s">
        <v>24</v>
      </c>
    </row>
    <row r="452" spans="1:17" x14ac:dyDescent="0.25">
      <c r="A452" s="2" t="s">
        <v>37</v>
      </c>
      <c r="B452" s="2">
        <v>22</v>
      </c>
      <c r="C452" s="2" t="s">
        <v>18</v>
      </c>
      <c r="D452" s="2" t="s">
        <v>33</v>
      </c>
      <c r="E452" s="2" t="s">
        <v>28</v>
      </c>
      <c r="F452" s="2" t="s">
        <v>64</v>
      </c>
      <c r="G452" s="2" t="s">
        <v>899</v>
      </c>
      <c r="H452" s="2">
        <v>4</v>
      </c>
      <c r="I452" s="2" t="s">
        <v>42</v>
      </c>
      <c r="J452" s="2">
        <v>6518</v>
      </c>
      <c r="K452" s="2">
        <v>10</v>
      </c>
      <c r="L452" s="2" t="s">
        <v>24</v>
      </c>
      <c r="M452" s="2">
        <v>1</v>
      </c>
      <c r="N452" s="2">
        <v>1</v>
      </c>
      <c r="O452" s="2">
        <v>3</v>
      </c>
      <c r="P452" s="2">
        <v>3</v>
      </c>
      <c r="Q452" s="2" t="s">
        <v>36</v>
      </c>
    </row>
    <row r="453" spans="1:17" x14ac:dyDescent="0.25">
      <c r="A453" s="2" t="s">
        <v>1038</v>
      </c>
      <c r="B453" s="2">
        <v>20</v>
      </c>
      <c r="C453" s="2" t="s">
        <v>26</v>
      </c>
      <c r="D453" s="2" t="s">
        <v>33</v>
      </c>
      <c r="E453" s="2" t="s">
        <v>28</v>
      </c>
      <c r="F453" s="2" t="s">
        <v>29</v>
      </c>
      <c r="G453" s="2" t="s">
        <v>901</v>
      </c>
      <c r="H453" s="2">
        <v>18</v>
      </c>
      <c r="I453" s="2" t="s">
        <v>92</v>
      </c>
      <c r="J453" s="2">
        <v>9977</v>
      </c>
      <c r="K453" s="2">
        <v>5</v>
      </c>
      <c r="L453" s="2" t="s">
        <v>24</v>
      </c>
      <c r="M453" s="2">
        <v>2</v>
      </c>
      <c r="N453" s="2">
        <v>3</v>
      </c>
      <c r="O453" s="2">
        <v>3</v>
      </c>
      <c r="P453" s="2">
        <v>4</v>
      </c>
      <c r="Q453" s="2" t="s">
        <v>24</v>
      </c>
    </row>
    <row r="454" spans="1:17" x14ac:dyDescent="0.25">
      <c r="A454" s="2" t="s">
        <v>333</v>
      </c>
      <c r="B454" s="2">
        <v>24</v>
      </c>
      <c r="C454" s="2" t="s">
        <v>18</v>
      </c>
      <c r="D454" s="2" t="s">
        <v>27</v>
      </c>
      <c r="E454" s="2" t="s">
        <v>28</v>
      </c>
      <c r="F454" s="2" t="s">
        <v>59</v>
      </c>
      <c r="G454" s="2" t="s">
        <v>903</v>
      </c>
      <c r="H454" s="2">
        <v>0</v>
      </c>
      <c r="I454" s="2" t="s">
        <v>23</v>
      </c>
      <c r="J454" s="2">
        <v>5902</v>
      </c>
      <c r="K454" s="2">
        <v>24</v>
      </c>
      <c r="L454" s="2" t="s">
        <v>36</v>
      </c>
      <c r="M454" s="2">
        <v>2</v>
      </c>
      <c r="N454" s="2">
        <v>3</v>
      </c>
      <c r="O454" s="2">
        <v>3</v>
      </c>
      <c r="P454" s="2">
        <v>3</v>
      </c>
      <c r="Q454" s="2" t="s">
        <v>36</v>
      </c>
    </row>
    <row r="455" spans="1:17" x14ac:dyDescent="0.25">
      <c r="A455" s="2" t="s">
        <v>690</v>
      </c>
      <c r="B455" s="2">
        <v>46</v>
      </c>
      <c r="C455" s="2" t="s">
        <v>18</v>
      </c>
      <c r="D455" s="2" t="s">
        <v>33</v>
      </c>
      <c r="E455" s="2" t="s">
        <v>28</v>
      </c>
      <c r="F455" s="2" t="s">
        <v>59</v>
      </c>
      <c r="G455" s="2" t="s">
        <v>905</v>
      </c>
      <c r="H455" s="2">
        <v>1</v>
      </c>
      <c r="I455" s="2" t="s">
        <v>23</v>
      </c>
      <c r="J455" s="2">
        <v>5515</v>
      </c>
      <c r="K455" s="2">
        <v>3</v>
      </c>
      <c r="L455" s="2" t="s">
        <v>24</v>
      </c>
      <c r="M455" s="2">
        <v>1</v>
      </c>
      <c r="N455" s="2">
        <v>3</v>
      </c>
      <c r="O455" s="2">
        <v>3</v>
      </c>
      <c r="P455" s="2">
        <v>4</v>
      </c>
      <c r="Q455" s="2" t="s">
        <v>24</v>
      </c>
    </row>
    <row r="456" spans="1:17" x14ac:dyDescent="0.25">
      <c r="A456" s="2" t="s">
        <v>927</v>
      </c>
      <c r="B456" s="2">
        <v>48</v>
      </c>
      <c r="C456" s="2" t="s">
        <v>26</v>
      </c>
      <c r="D456" s="2" t="s">
        <v>33</v>
      </c>
      <c r="E456" s="2" t="s">
        <v>28</v>
      </c>
      <c r="F456" s="2" t="s">
        <v>64</v>
      </c>
      <c r="G456" s="2" t="s">
        <v>907</v>
      </c>
      <c r="H456" s="2">
        <v>3</v>
      </c>
      <c r="I456" s="2" t="s">
        <v>42</v>
      </c>
      <c r="J456" s="2">
        <v>5964</v>
      </c>
      <c r="K456" s="2">
        <v>1</v>
      </c>
      <c r="L456" s="2" t="s">
        <v>24</v>
      </c>
      <c r="M456" s="2">
        <v>4</v>
      </c>
      <c r="N456" s="2">
        <v>2</v>
      </c>
      <c r="O456" s="2">
        <v>3</v>
      </c>
      <c r="P456" s="2">
        <v>3</v>
      </c>
      <c r="Q456" s="2" t="s">
        <v>24</v>
      </c>
    </row>
    <row r="457" spans="1:17" x14ac:dyDescent="0.25">
      <c r="A457" s="2" t="s">
        <v>861</v>
      </c>
      <c r="B457" s="2">
        <v>32</v>
      </c>
      <c r="C457" s="2" t="s">
        <v>18</v>
      </c>
      <c r="D457" s="2" t="s">
        <v>19</v>
      </c>
      <c r="E457" s="2" t="s">
        <v>110</v>
      </c>
      <c r="F457" s="2" t="s">
        <v>128</v>
      </c>
      <c r="G457" s="2" t="s">
        <v>909</v>
      </c>
      <c r="H457" s="2">
        <v>5</v>
      </c>
      <c r="I457" s="2" t="s">
        <v>42</v>
      </c>
      <c r="J457" s="2">
        <v>13087</v>
      </c>
      <c r="K457" s="2">
        <v>1</v>
      </c>
      <c r="L457" s="2" t="s">
        <v>24</v>
      </c>
      <c r="M457" s="2">
        <v>1</v>
      </c>
      <c r="N457" s="2">
        <v>1</v>
      </c>
      <c r="O457" s="2">
        <v>3</v>
      </c>
      <c r="P457" s="2">
        <v>4</v>
      </c>
      <c r="Q457" s="2" t="s">
        <v>36</v>
      </c>
    </row>
    <row r="458" spans="1:17" x14ac:dyDescent="0.25">
      <c r="A458" s="2" t="s">
        <v>938</v>
      </c>
      <c r="B458" s="2">
        <v>24</v>
      </c>
      <c r="C458" s="2" t="s">
        <v>18</v>
      </c>
      <c r="D458" s="2" t="s">
        <v>19</v>
      </c>
      <c r="E458" s="2" t="s">
        <v>20</v>
      </c>
      <c r="F458" s="2" t="s">
        <v>44</v>
      </c>
      <c r="G458" s="2" t="s">
        <v>911</v>
      </c>
      <c r="H458" s="2">
        <v>0</v>
      </c>
      <c r="I458" s="2" t="s">
        <v>23</v>
      </c>
      <c r="J458" s="2">
        <v>6350</v>
      </c>
      <c r="K458" s="2">
        <v>1</v>
      </c>
      <c r="L458" s="2" t="s">
        <v>36</v>
      </c>
      <c r="M458" s="2">
        <v>3</v>
      </c>
      <c r="N458" s="2">
        <v>3</v>
      </c>
      <c r="O458" s="2">
        <v>3</v>
      </c>
      <c r="P458" s="2">
        <v>0</v>
      </c>
      <c r="Q458" s="2" t="s">
        <v>36</v>
      </c>
    </row>
    <row r="459" spans="1:17" x14ac:dyDescent="0.25">
      <c r="A459" s="2" t="s">
        <v>653</v>
      </c>
      <c r="B459" s="2">
        <v>25</v>
      </c>
      <c r="C459" s="2" t="s">
        <v>18</v>
      </c>
      <c r="D459" s="2" t="s">
        <v>27</v>
      </c>
      <c r="E459" s="2" t="s">
        <v>20</v>
      </c>
      <c r="F459" s="2" t="s">
        <v>44</v>
      </c>
      <c r="G459" s="2" t="s">
        <v>913</v>
      </c>
      <c r="H459" s="2">
        <v>0</v>
      </c>
      <c r="I459" s="2" t="s">
        <v>23</v>
      </c>
      <c r="J459" s="2">
        <v>6527</v>
      </c>
      <c r="K459" s="2">
        <v>7</v>
      </c>
      <c r="L459" s="2" t="s">
        <v>24</v>
      </c>
      <c r="M459" s="2">
        <v>4</v>
      </c>
      <c r="N459" s="2">
        <v>1</v>
      </c>
      <c r="O459" s="2">
        <v>4</v>
      </c>
      <c r="P459" s="2">
        <v>4</v>
      </c>
      <c r="Q459" s="2" t="s">
        <v>24</v>
      </c>
    </row>
    <row r="460" spans="1:17" x14ac:dyDescent="0.25">
      <c r="A460" s="2" t="s">
        <v>641</v>
      </c>
      <c r="B460" s="2">
        <v>27</v>
      </c>
      <c r="C460" s="2" t="s">
        <v>18</v>
      </c>
      <c r="D460" s="2" t="s">
        <v>19</v>
      </c>
      <c r="E460" s="2" t="s">
        <v>28</v>
      </c>
      <c r="F460" s="2" t="s">
        <v>64</v>
      </c>
      <c r="G460" s="2" t="s">
        <v>915</v>
      </c>
      <c r="H460" s="2">
        <v>10</v>
      </c>
      <c r="I460" s="2" t="s">
        <v>31</v>
      </c>
      <c r="J460" s="2">
        <v>5097</v>
      </c>
      <c r="K460" s="2">
        <v>1</v>
      </c>
      <c r="L460" s="2" t="s">
        <v>36</v>
      </c>
      <c r="M460" s="2">
        <v>3</v>
      </c>
      <c r="N460" s="2">
        <v>3</v>
      </c>
      <c r="O460" s="2">
        <v>4</v>
      </c>
      <c r="P460" s="2">
        <v>5</v>
      </c>
      <c r="Q460" s="2" t="s">
        <v>24</v>
      </c>
    </row>
    <row r="461" spans="1:17" x14ac:dyDescent="0.25">
      <c r="A461" s="2" t="s">
        <v>476</v>
      </c>
      <c r="B461" s="2">
        <v>36</v>
      </c>
      <c r="C461" s="2" t="s">
        <v>18</v>
      </c>
      <c r="D461" s="2" t="s">
        <v>33</v>
      </c>
      <c r="E461" s="2" t="s">
        <v>20</v>
      </c>
      <c r="F461" s="2" t="s">
        <v>44</v>
      </c>
      <c r="G461" s="2" t="s">
        <v>508</v>
      </c>
      <c r="H461" s="2">
        <v>1</v>
      </c>
      <c r="I461" s="2" t="s">
        <v>23</v>
      </c>
      <c r="J461" s="2">
        <v>6886</v>
      </c>
      <c r="K461" s="2">
        <v>1</v>
      </c>
      <c r="L461" s="2" t="s">
        <v>36</v>
      </c>
      <c r="M461" s="2">
        <v>4</v>
      </c>
      <c r="N461" s="2">
        <v>3</v>
      </c>
      <c r="O461" s="2">
        <v>4</v>
      </c>
      <c r="P461" s="2">
        <v>4</v>
      </c>
      <c r="Q461" s="2" t="s">
        <v>36</v>
      </c>
    </row>
    <row r="462" spans="1:17" x14ac:dyDescent="0.25">
      <c r="A462" s="2" t="s">
        <v>619</v>
      </c>
      <c r="B462" s="2">
        <v>29</v>
      </c>
      <c r="C462" s="2" t="s">
        <v>18</v>
      </c>
      <c r="D462" s="2" t="s">
        <v>19</v>
      </c>
      <c r="E462" s="2" t="s">
        <v>20</v>
      </c>
      <c r="F462" s="2" t="s">
        <v>21</v>
      </c>
      <c r="G462" s="2" t="s">
        <v>918</v>
      </c>
      <c r="H462" s="2">
        <v>10</v>
      </c>
      <c r="I462" s="2" t="s">
        <v>31</v>
      </c>
      <c r="J462" s="2">
        <v>11400</v>
      </c>
      <c r="K462" s="2">
        <v>11</v>
      </c>
      <c r="L462" s="2" t="s">
        <v>24</v>
      </c>
      <c r="M462" s="2">
        <v>2</v>
      </c>
      <c r="N462" s="2">
        <v>4</v>
      </c>
      <c r="O462" s="2">
        <v>3</v>
      </c>
      <c r="P462" s="2">
        <v>4</v>
      </c>
      <c r="Q462" s="2" t="s">
        <v>24</v>
      </c>
    </row>
    <row r="463" spans="1:17" x14ac:dyDescent="0.25">
      <c r="A463" s="2" t="s">
        <v>411</v>
      </c>
      <c r="B463" s="2">
        <v>27</v>
      </c>
      <c r="C463" s="2" t="s">
        <v>26</v>
      </c>
      <c r="D463" s="2" t="s">
        <v>19</v>
      </c>
      <c r="E463" s="2" t="s">
        <v>28</v>
      </c>
      <c r="F463" s="2" t="s">
        <v>64</v>
      </c>
      <c r="G463" s="2" t="s">
        <v>920</v>
      </c>
      <c r="H463" s="2">
        <v>5</v>
      </c>
      <c r="I463" s="2" t="s">
        <v>42</v>
      </c>
      <c r="J463" s="2">
        <v>6354</v>
      </c>
      <c r="K463" s="2">
        <v>1</v>
      </c>
      <c r="L463" s="2" t="s">
        <v>24</v>
      </c>
      <c r="M463" s="2">
        <v>4</v>
      </c>
      <c r="N463" s="2">
        <v>3</v>
      </c>
      <c r="O463" s="2">
        <v>3</v>
      </c>
      <c r="P463" s="2">
        <v>3</v>
      </c>
      <c r="Q463" s="2" t="s">
        <v>24</v>
      </c>
    </row>
    <row r="464" spans="1:17" x14ac:dyDescent="0.25">
      <c r="A464" s="2" t="s">
        <v>1039</v>
      </c>
      <c r="B464" s="2">
        <v>30</v>
      </c>
      <c r="C464" s="2" t="s">
        <v>26</v>
      </c>
      <c r="D464" s="2" t="s">
        <v>19</v>
      </c>
      <c r="E464" s="2" t="s">
        <v>20</v>
      </c>
      <c r="F464" s="2" t="s">
        <v>40</v>
      </c>
      <c r="G464" s="2" t="s">
        <v>922</v>
      </c>
      <c r="H464" s="2">
        <v>6</v>
      </c>
      <c r="I464" s="2" t="s">
        <v>31</v>
      </c>
      <c r="J464" s="2">
        <v>3916</v>
      </c>
      <c r="K464" s="2">
        <v>16</v>
      </c>
      <c r="L464" s="2" t="s">
        <v>36</v>
      </c>
      <c r="M464" s="2">
        <v>1</v>
      </c>
      <c r="N464" s="2">
        <v>2</v>
      </c>
      <c r="O464" s="2">
        <v>3</v>
      </c>
      <c r="P464" s="2">
        <v>2</v>
      </c>
      <c r="Q464" s="2" t="s">
        <v>24</v>
      </c>
    </row>
    <row r="465" spans="1:17" x14ac:dyDescent="0.25">
      <c r="A465" s="2" t="s">
        <v>955</v>
      </c>
      <c r="B465" s="2">
        <v>36</v>
      </c>
      <c r="C465" s="2" t="s">
        <v>18</v>
      </c>
      <c r="D465" s="2" t="s">
        <v>19</v>
      </c>
      <c r="E465" s="2" t="s">
        <v>20</v>
      </c>
      <c r="F465" s="2" t="s">
        <v>40</v>
      </c>
      <c r="G465" s="2" t="s">
        <v>924</v>
      </c>
      <c r="H465" s="2">
        <v>0</v>
      </c>
      <c r="I465" s="2" t="s">
        <v>23</v>
      </c>
      <c r="J465" s="2">
        <v>3463</v>
      </c>
      <c r="K465" s="2">
        <v>5</v>
      </c>
      <c r="L465" s="2" t="s">
        <v>24</v>
      </c>
      <c r="M465" s="2">
        <v>3</v>
      </c>
      <c r="N465" s="2">
        <v>4</v>
      </c>
      <c r="O465" s="2">
        <v>3</v>
      </c>
      <c r="P465" s="2">
        <v>2</v>
      </c>
      <c r="Q465" s="2" t="s">
        <v>36</v>
      </c>
    </row>
    <row r="466" spans="1:17" x14ac:dyDescent="0.25">
      <c r="A466" s="2" t="s">
        <v>874</v>
      </c>
      <c r="B466" s="2">
        <v>24</v>
      </c>
      <c r="C466" s="2" t="s">
        <v>26</v>
      </c>
      <c r="D466" s="2" t="s">
        <v>33</v>
      </c>
      <c r="E466" s="2" t="s">
        <v>28</v>
      </c>
      <c r="F466" s="2" t="s">
        <v>29</v>
      </c>
      <c r="G466" s="2" t="s">
        <v>926</v>
      </c>
      <c r="H466" s="2">
        <v>0</v>
      </c>
      <c r="I466" s="2" t="s">
        <v>23</v>
      </c>
      <c r="J466" s="2">
        <v>11632</v>
      </c>
      <c r="K466" s="2">
        <v>1</v>
      </c>
      <c r="L466" s="2" t="s">
        <v>24</v>
      </c>
      <c r="M466" s="2">
        <v>4</v>
      </c>
      <c r="N466" s="2">
        <v>3</v>
      </c>
      <c r="O466" s="2">
        <v>4</v>
      </c>
      <c r="P466" s="2">
        <v>0</v>
      </c>
      <c r="Q466" s="2" t="s">
        <v>24</v>
      </c>
    </row>
    <row r="467" spans="1:17" x14ac:dyDescent="0.25">
      <c r="A467" s="2" t="s">
        <v>930</v>
      </c>
      <c r="B467" s="2">
        <v>29</v>
      </c>
      <c r="C467" s="2" t="s">
        <v>18</v>
      </c>
      <c r="D467" s="2" t="s">
        <v>19</v>
      </c>
      <c r="E467" s="2" t="s">
        <v>20</v>
      </c>
      <c r="F467" s="2" t="s">
        <v>21</v>
      </c>
      <c r="G467" s="2" t="s">
        <v>928</v>
      </c>
      <c r="H467" s="2">
        <v>4</v>
      </c>
      <c r="I467" s="2" t="s">
        <v>42</v>
      </c>
      <c r="J467" s="2">
        <v>9468</v>
      </c>
      <c r="K467" s="2">
        <v>1</v>
      </c>
      <c r="L467" s="2" t="s">
        <v>36</v>
      </c>
      <c r="M467" s="2">
        <v>3</v>
      </c>
      <c r="N467" s="2">
        <v>4</v>
      </c>
      <c r="O467" s="2">
        <v>3</v>
      </c>
      <c r="P467" s="2">
        <v>2</v>
      </c>
      <c r="Q467" s="2" t="s">
        <v>24</v>
      </c>
    </row>
    <row r="468" spans="1:17" x14ac:dyDescent="0.25">
      <c r="A468" s="2" t="s">
        <v>701</v>
      </c>
      <c r="B468" s="2">
        <v>25</v>
      </c>
      <c r="C468" s="2" t="s">
        <v>18</v>
      </c>
      <c r="D468" s="2" t="s">
        <v>33</v>
      </c>
      <c r="E468" s="2" t="s">
        <v>28</v>
      </c>
      <c r="F468" s="2" t="s">
        <v>34</v>
      </c>
      <c r="G468" s="2" t="s">
        <v>499</v>
      </c>
      <c r="H468" s="2">
        <v>0</v>
      </c>
      <c r="I468" s="2" t="s">
        <v>23</v>
      </c>
      <c r="J468" s="2">
        <v>2795</v>
      </c>
      <c r="K468" s="2">
        <v>7</v>
      </c>
      <c r="L468" s="2" t="s">
        <v>36</v>
      </c>
      <c r="M468" s="2">
        <v>2</v>
      </c>
      <c r="N468" s="2">
        <v>2</v>
      </c>
      <c r="O468" s="2">
        <v>3</v>
      </c>
      <c r="P468" s="2">
        <v>4</v>
      </c>
      <c r="Q468" s="2" t="s">
        <v>24</v>
      </c>
    </row>
    <row r="469" spans="1:17" x14ac:dyDescent="0.25">
      <c r="A469" s="2" t="s">
        <v>115</v>
      </c>
      <c r="B469" s="2">
        <v>25</v>
      </c>
      <c r="C469" s="2" t="s">
        <v>18</v>
      </c>
      <c r="D469" s="2" t="s">
        <v>19</v>
      </c>
      <c r="E469" s="2" t="s">
        <v>20</v>
      </c>
      <c r="F469" s="2" t="s">
        <v>40</v>
      </c>
      <c r="G469" s="2" t="s">
        <v>931</v>
      </c>
      <c r="H469" s="2">
        <v>2</v>
      </c>
      <c r="I469" s="2" t="s">
        <v>23</v>
      </c>
      <c r="J469" s="2">
        <v>2908</v>
      </c>
      <c r="K469" s="2">
        <v>2</v>
      </c>
      <c r="L469" s="2" t="s">
        <v>36</v>
      </c>
      <c r="M469" s="2">
        <v>3</v>
      </c>
      <c r="N469" s="2">
        <v>3</v>
      </c>
      <c r="O469" s="2">
        <v>3</v>
      </c>
      <c r="P469" s="2">
        <v>1</v>
      </c>
      <c r="Q469" s="2" t="s">
        <v>24</v>
      </c>
    </row>
    <row r="470" spans="1:17" x14ac:dyDescent="0.25">
      <c r="A470" s="2" t="s">
        <v>457</v>
      </c>
      <c r="B470" s="2">
        <v>49</v>
      </c>
      <c r="C470" s="2" t="s">
        <v>26</v>
      </c>
      <c r="D470" s="2" t="s">
        <v>33</v>
      </c>
      <c r="E470" s="2" t="s">
        <v>28</v>
      </c>
      <c r="F470" s="2" t="s">
        <v>59</v>
      </c>
      <c r="G470" s="2" t="s">
        <v>933</v>
      </c>
      <c r="H470" s="2">
        <v>1</v>
      </c>
      <c r="I470" s="2" t="s">
        <v>23</v>
      </c>
      <c r="J470" s="2">
        <v>6538</v>
      </c>
      <c r="K470" s="2">
        <v>1</v>
      </c>
      <c r="L470" s="2" t="s">
        <v>24</v>
      </c>
      <c r="M470" s="2">
        <v>3</v>
      </c>
      <c r="N470" s="2">
        <v>4</v>
      </c>
      <c r="O470" s="2">
        <v>3</v>
      </c>
      <c r="P470" s="2">
        <v>5</v>
      </c>
      <c r="Q470" s="2" t="s">
        <v>24</v>
      </c>
    </row>
    <row r="471" spans="1:17" x14ac:dyDescent="0.25">
      <c r="A471" s="2" t="s">
        <v>723</v>
      </c>
      <c r="B471" s="2">
        <v>39</v>
      </c>
      <c r="C471" s="2" t="s">
        <v>18</v>
      </c>
      <c r="D471" s="2" t="s">
        <v>33</v>
      </c>
      <c r="E471" s="2" t="s">
        <v>28</v>
      </c>
      <c r="F471" s="2" t="s">
        <v>59</v>
      </c>
      <c r="G471" s="2" t="s">
        <v>236</v>
      </c>
      <c r="H471" s="2">
        <v>3</v>
      </c>
      <c r="I471" s="2" t="s">
        <v>42</v>
      </c>
      <c r="J471" s="2">
        <v>6939</v>
      </c>
      <c r="K471" s="2">
        <v>5</v>
      </c>
      <c r="L471" s="2" t="s">
        <v>24</v>
      </c>
      <c r="M471" s="2">
        <v>2</v>
      </c>
      <c r="N471" s="2">
        <v>1</v>
      </c>
      <c r="O471" s="2">
        <v>3</v>
      </c>
      <c r="P471" s="2">
        <v>2</v>
      </c>
      <c r="Q471" s="2" t="s">
        <v>24</v>
      </c>
    </row>
    <row r="472" spans="1:17" x14ac:dyDescent="0.25">
      <c r="A472" s="2" t="s">
        <v>1094</v>
      </c>
      <c r="B472" s="2">
        <v>30</v>
      </c>
      <c r="C472" s="2" t="s">
        <v>18</v>
      </c>
      <c r="D472" s="2" t="s">
        <v>33</v>
      </c>
      <c r="E472" s="2" t="s">
        <v>20</v>
      </c>
      <c r="F472" s="2" t="s">
        <v>21</v>
      </c>
      <c r="G472" s="2" t="s">
        <v>936</v>
      </c>
      <c r="H472" s="2">
        <v>3</v>
      </c>
      <c r="I472" s="2" t="s">
        <v>42</v>
      </c>
      <c r="J472" s="2">
        <v>9735</v>
      </c>
      <c r="K472" s="2">
        <v>13</v>
      </c>
      <c r="L472" s="2" t="s">
        <v>36</v>
      </c>
      <c r="M472" s="2">
        <v>4</v>
      </c>
      <c r="N472" s="2">
        <v>2</v>
      </c>
      <c r="O472" s="2">
        <v>3</v>
      </c>
      <c r="P472" s="2">
        <v>3</v>
      </c>
      <c r="Q472" s="2" t="s">
        <v>36</v>
      </c>
    </row>
    <row r="473" spans="1:17" x14ac:dyDescent="0.25">
      <c r="A473" s="2" t="s">
        <v>742</v>
      </c>
      <c r="B473" s="2">
        <v>26</v>
      </c>
      <c r="C473" s="2" t="s">
        <v>18</v>
      </c>
      <c r="D473" s="2" t="s">
        <v>33</v>
      </c>
      <c r="E473" s="2" t="s">
        <v>28</v>
      </c>
      <c r="F473" s="2" t="s">
        <v>59</v>
      </c>
      <c r="G473" s="2" t="s">
        <v>525</v>
      </c>
      <c r="H473" s="2">
        <v>0</v>
      </c>
      <c r="I473" s="2" t="s">
        <v>23</v>
      </c>
      <c r="J473" s="2">
        <v>7171</v>
      </c>
      <c r="K473" s="2">
        <v>1</v>
      </c>
      <c r="L473" s="2" t="s">
        <v>36</v>
      </c>
      <c r="M473" s="2">
        <v>4</v>
      </c>
      <c r="N473" s="2">
        <v>2</v>
      </c>
      <c r="O473" s="2">
        <v>3</v>
      </c>
      <c r="P473" s="2">
        <v>3</v>
      </c>
      <c r="Q473" s="2" t="s">
        <v>36</v>
      </c>
    </row>
    <row r="474" spans="1:17" x14ac:dyDescent="0.25">
      <c r="A474" s="2" t="s">
        <v>261</v>
      </c>
      <c r="B474" s="2">
        <v>36</v>
      </c>
      <c r="C474" s="2" t="s">
        <v>18</v>
      </c>
      <c r="D474" s="2" t="s">
        <v>33</v>
      </c>
      <c r="E474" s="2" t="s">
        <v>110</v>
      </c>
      <c r="F474" s="2" t="s">
        <v>128</v>
      </c>
      <c r="G474" s="2" t="s">
        <v>939</v>
      </c>
      <c r="H474" s="2">
        <v>0</v>
      </c>
      <c r="I474" s="2" t="s">
        <v>23</v>
      </c>
      <c r="J474" s="2">
        <v>9478</v>
      </c>
      <c r="K474" s="2">
        <v>11</v>
      </c>
      <c r="L474" s="2" t="s">
        <v>24</v>
      </c>
      <c r="M474" s="2">
        <v>2</v>
      </c>
      <c r="N474" s="2">
        <v>3</v>
      </c>
      <c r="O474" s="2">
        <v>3</v>
      </c>
      <c r="P474" s="2">
        <v>2</v>
      </c>
      <c r="Q474" s="2" t="s">
        <v>36</v>
      </c>
    </row>
    <row r="475" spans="1:17" x14ac:dyDescent="0.25">
      <c r="A475" s="2" t="s">
        <v>271</v>
      </c>
      <c r="B475" s="2">
        <v>30</v>
      </c>
      <c r="C475" s="2" t="s">
        <v>26</v>
      </c>
      <c r="D475" s="2" t="s">
        <v>19</v>
      </c>
      <c r="E475" s="2" t="s">
        <v>28</v>
      </c>
      <c r="F475" s="2" t="s">
        <v>34</v>
      </c>
      <c r="G475" s="2" t="s">
        <v>895</v>
      </c>
      <c r="H475" s="2">
        <v>1</v>
      </c>
      <c r="I475" s="2" t="s">
        <v>23</v>
      </c>
      <c r="J475" s="2">
        <v>3444</v>
      </c>
      <c r="K475" s="2">
        <v>3</v>
      </c>
      <c r="L475" s="2" t="s">
        <v>24</v>
      </c>
      <c r="M475" s="2">
        <v>4</v>
      </c>
      <c r="N475" s="2">
        <v>4</v>
      </c>
      <c r="O475" s="2">
        <v>3</v>
      </c>
      <c r="P475" s="2">
        <v>1</v>
      </c>
      <c r="Q475" s="2" t="s">
        <v>24</v>
      </c>
    </row>
    <row r="476" spans="1:17" x14ac:dyDescent="0.25">
      <c r="A476" s="2" t="s">
        <v>248</v>
      </c>
      <c r="B476" s="2">
        <v>35</v>
      </c>
      <c r="C476" s="2" t="s">
        <v>18</v>
      </c>
      <c r="D476" s="2" t="s">
        <v>33</v>
      </c>
      <c r="E476" s="2" t="s">
        <v>20</v>
      </c>
      <c r="F476" s="2" t="s">
        <v>21</v>
      </c>
      <c r="G476" s="2" t="s">
        <v>942</v>
      </c>
      <c r="H476" s="2">
        <v>3</v>
      </c>
      <c r="I476" s="2" t="s">
        <v>42</v>
      </c>
      <c r="J476" s="2">
        <v>13092</v>
      </c>
      <c r="K476" s="2">
        <v>1</v>
      </c>
      <c r="L476" s="2" t="s">
        <v>24</v>
      </c>
      <c r="M476" s="2">
        <v>3</v>
      </c>
      <c r="N476" s="2">
        <v>1</v>
      </c>
      <c r="O476" s="2">
        <v>3</v>
      </c>
      <c r="P476" s="2">
        <v>4</v>
      </c>
      <c r="Q476" s="2" t="s">
        <v>24</v>
      </c>
    </row>
    <row r="477" spans="1:17" x14ac:dyDescent="0.25">
      <c r="A477" s="2" t="s">
        <v>160</v>
      </c>
      <c r="B477" s="2">
        <v>28</v>
      </c>
      <c r="C477" s="2" t="s">
        <v>26</v>
      </c>
      <c r="D477" s="2" t="s">
        <v>19</v>
      </c>
      <c r="E477" s="2" t="s">
        <v>28</v>
      </c>
      <c r="F477" s="2" t="s">
        <v>29</v>
      </c>
      <c r="G477" s="2" t="s">
        <v>944</v>
      </c>
      <c r="H477" s="2">
        <v>0</v>
      </c>
      <c r="I477" s="2" t="s">
        <v>23</v>
      </c>
      <c r="J477" s="2">
        <v>13152</v>
      </c>
      <c r="K477" s="2">
        <v>9</v>
      </c>
      <c r="L477" s="2" t="s">
        <v>24</v>
      </c>
      <c r="M477" s="2">
        <v>2</v>
      </c>
      <c r="N477" s="2">
        <v>3</v>
      </c>
      <c r="O477" s="2">
        <v>3</v>
      </c>
      <c r="P477" s="2">
        <v>3</v>
      </c>
      <c r="Q477" s="2" t="s">
        <v>24</v>
      </c>
    </row>
    <row r="478" spans="1:17" x14ac:dyDescent="0.25">
      <c r="A478" s="2" t="s">
        <v>223</v>
      </c>
      <c r="B478" s="2">
        <v>35</v>
      </c>
      <c r="C478" s="2" t="s">
        <v>26</v>
      </c>
      <c r="D478" s="2" t="s">
        <v>27</v>
      </c>
      <c r="E478" s="2" t="s">
        <v>28</v>
      </c>
      <c r="F478" s="2" t="s">
        <v>59</v>
      </c>
      <c r="G478" s="2" t="s">
        <v>946</v>
      </c>
      <c r="H478" s="2">
        <v>3</v>
      </c>
      <c r="I478" s="2" t="s">
        <v>42</v>
      </c>
      <c r="J478" s="2">
        <v>5674</v>
      </c>
      <c r="K478" s="2">
        <v>2</v>
      </c>
      <c r="L478" s="2" t="s">
        <v>36</v>
      </c>
      <c r="M478" s="2">
        <v>4</v>
      </c>
      <c r="N478" s="2">
        <v>3</v>
      </c>
      <c r="O478" s="2">
        <v>3</v>
      </c>
      <c r="P478" s="2">
        <v>2</v>
      </c>
      <c r="Q478" s="2" t="s">
        <v>36</v>
      </c>
    </row>
    <row r="479" spans="1:17" x14ac:dyDescent="0.25">
      <c r="A479" s="2" t="s">
        <v>107</v>
      </c>
      <c r="B479" s="2">
        <v>29</v>
      </c>
      <c r="C479" s="2" t="s">
        <v>18</v>
      </c>
      <c r="D479" s="2" t="s">
        <v>19</v>
      </c>
      <c r="E479" s="2" t="s">
        <v>110</v>
      </c>
      <c r="F479" s="2" t="s">
        <v>128</v>
      </c>
      <c r="G479" s="2" t="s">
        <v>948</v>
      </c>
      <c r="H479" s="2">
        <v>8</v>
      </c>
      <c r="I479" s="2" t="s">
        <v>31</v>
      </c>
      <c r="J479" s="2">
        <v>11929</v>
      </c>
      <c r="K479" s="2">
        <v>12</v>
      </c>
      <c r="L479" s="2" t="s">
        <v>36</v>
      </c>
      <c r="M479" s="2">
        <v>4</v>
      </c>
      <c r="N479" s="2">
        <v>2</v>
      </c>
      <c r="O479" s="2">
        <v>3</v>
      </c>
      <c r="P479" s="2">
        <v>3</v>
      </c>
      <c r="Q479" s="2" t="s">
        <v>24</v>
      </c>
    </row>
    <row r="480" spans="1:17" x14ac:dyDescent="0.25">
      <c r="A480" s="2" t="s">
        <v>76</v>
      </c>
      <c r="B480" s="2">
        <v>39</v>
      </c>
      <c r="C480" s="2" t="s">
        <v>18</v>
      </c>
      <c r="D480" s="2" t="s">
        <v>33</v>
      </c>
      <c r="E480" s="2" t="s">
        <v>28</v>
      </c>
      <c r="F480" s="2" t="s">
        <v>64</v>
      </c>
      <c r="G480" s="2" t="s">
        <v>950</v>
      </c>
      <c r="H480" s="2">
        <v>2</v>
      </c>
      <c r="I480" s="2" t="s">
        <v>23</v>
      </c>
      <c r="J480" s="2">
        <v>5329</v>
      </c>
      <c r="K480" s="2">
        <v>9</v>
      </c>
      <c r="L480" s="2" t="s">
        <v>24</v>
      </c>
      <c r="M480" s="2">
        <v>3</v>
      </c>
      <c r="N480" s="2">
        <v>3</v>
      </c>
      <c r="O480" s="2">
        <v>3</v>
      </c>
      <c r="P480" s="2">
        <v>4</v>
      </c>
      <c r="Q480" s="2" t="s">
        <v>24</v>
      </c>
    </row>
    <row r="481" spans="1:17" x14ac:dyDescent="0.25">
      <c r="A481" s="2" t="s">
        <v>1066</v>
      </c>
      <c r="B481" s="2">
        <v>33</v>
      </c>
      <c r="C481" s="2" t="s">
        <v>18</v>
      </c>
      <c r="D481" s="2" t="s">
        <v>33</v>
      </c>
      <c r="E481" s="2" t="s">
        <v>28</v>
      </c>
      <c r="F481" s="2" t="s">
        <v>29</v>
      </c>
      <c r="G481" s="2" t="s">
        <v>952</v>
      </c>
      <c r="H481" s="2">
        <v>8</v>
      </c>
      <c r="I481" s="2" t="s">
        <v>31</v>
      </c>
      <c r="J481" s="2">
        <v>16736</v>
      </c>
      <c r="K481" s="2">
        <v>3</v>
      </c>
      <c r="L481" s="2" t="s">
        <v>24</v>
      </c>
      <c r="M481" s="2">
        <v>1</v>
      </c>
      <c r="N481" s="2">
        <v>4</v>
      </c>
      <c r="O481" s="2">
        <v>3</v>
      </c>
      <c r="P481" s="2">
        <v>5</v>
      </c>
      <c r="Q481" s="2" t="s">
        <v>24</v>
      </c>
    </row>
    <row r="482" spans="1:17" x14ac:dyDescent="0.25">
      <c r="A482" s="2" t="s">
        <v>910</v>
      </c>
      <c r="B482" s="2">
        <v>31</v>
      </c>
      <c r="C482" s="2" t="s">
        <v>26</v>
      </c>
      <c r="D482" s="2" t="s">
        <v>19</v>
      </c>
      <c r="E482" s="2" t="s">
        <v>20</v>
      </c>
      <c r="F482" s="2" t="s">
        <v>40</v>
      </c>
      <c r="G482" s="2" t="s">
        <v>954</v>
      </c>
      <c r="H482" s="2">
        <v>0</v>
      </c>
      <c r="I482" s="2" t="s">
        <v>23</v>
      </c>
      <c r="J482" s="2">
        <v>3304</v>
      </c>
      <c r="K482" s="2">
        <v>4</v>
      </c>
      <c r="L482" s="2" t="s">
        <v>24</v>
      </c>
      <c r="M482" s="2">
        <v>4</v>
      </c>
      <c r="N482" s="2">
        <v>4</v>
      </c>
      <c r="O482" s="2">
        <v>3</v>
      </c>
      <c r="P482" s="2">
        <v>5</v>
      </c>
      <c r="Q482" s="2" t="s">
        <v>24</v>
      </c>
    </row>
    <row r="483" spans="1:17" x14ac:dyDescent="0.25">
      <c r="A483" s="2" t="s">
        <v>95</v>
      </c>
      <c r="B483" s="2">
        <v>40</v>
      </c>
      <c r="C483" s="2" t="s">
        <v>26</v>
      </c>
      <c r="D483" s="2" t="s">
        <v>19</v>
      </c>
      <c r="E483" s="2" t="s">
        <v>28</v>
      </c>
      <c r="F483" s="2" t="s">
        <v>64</v>
      </c>
      <c r="G483" s="2" t="s">
        <v>956</v>
      </c>
      <c r="H483" s="2">
        <v>1</v>
      </c>
      <c r="I483" s="2" t="s">
        <v>23</v>
      </c>
      <c r="J483" s="2">
        <v>4622</v>
      </c>
      <c r="K483" s="2">
        <v>5</v>
      </c>
      <c r="L483" s="2" t="s">
        <v>24</v>
      </c>
      <c r="M483" s="2">
        <v>1</v>
      </c>
      <c r="N483" s="2">
        <v>2</v>
      </c>
      <c r="O483" s="2">
        <v>3</v>
      </c>
      <c r="P483" s="2">
        <v>1</v>
      </c>
      <c r="Q483" s="2" t="s">
        <v>24</v>
      </c>
    </row>
    <row r="484" spans="1:17" x14ac:dyDescent="0.25">
      <c r="A484" s="2" t="s">
        <v>604</v>
      </c>
      <c r="B484" s="2">
        <v>43</v>
      </c>
      <c r="C484" s="2" t="s">
        <v>26</v>
      </c>
      <c r="D484" s="2" t="s">
        <v>33</v>
      </c>
      <c r="E484" s="2" t="s">
        <v>20</v>
      </c>
      <c r="F484" s="2" t="s">
        <v>40</v>
      </c>
      <c r="G484" s="2" t="s">
        <v>958</v>
      </c>
      <c r="H484" s="2">
        <v>4</v>
      </c>
      <c r="I484" s="2" t="s">
        <v>42</v>
      </c>
      <c r="J484" s="2">
        <v>4159</v>
      </c>
      <c r="K484" s="2">
        <v>6</v>
      </c>
      <c r="L484" s="2" t="s">
        <v>24</v>
      </c>
      <c r="M484" s="2">
        <v>2</v>
      </c>
      <c r="N484" s="2">
        <v>4</v>
      </c>
      <c r="O484" s="2">
        <v>3</v>
      </c>
      <c r="P484" s="2">
        <v>1</v>
      </c>
      <c r="Q484" s="2" t="s">
        <v>24</v>
      </c>
    </row>
    <row r="485" spans="1:17" x14ac:dyDescent="0.25">
      <c r="A485" s="2" t="s">
        <v>1000</v>
      </c>
      <c r="B485" s="2">
        <v>36</v>
      </c>
      <c r="C485" s="2" t="s">
        <v>26</v>
      </c>
      <c r="D485" s="2" t="s">
        <v>19</v>
      </c>
      <c r="E485" s="2" t="s">
        <v>28</v>
      </c>
      <c r="F485" s="2" t="s">
        <v>34</v>
      </c>
      <c r="G485" s="2" t="s">
        <v>960</v>
      </c>
      <c r="H485" s="2">
        <v>5</v>
      </c>
      <c r="I485" s="2" t="s">
        <v>42</v>
      </c>
      <c r="J485" s="2">
        <v>3775</v>
      </c>
      <c r="K485" s="2">
        <v>8</v>
      </c>
      <c r="L485" s="2" t="s">
        <v>24</v>
      </c>
      <c r="M485" s="2">
        <v>3</v>
      </c>
      <c r="N485" s="2">
        <v>4</v>
      </c>
      <c r="O485" s="2">
        <v>3</v>
      </c>
      <c r="P485" s="2">
        <v>1</v>
      </c>
      <c r="Q485" s="2" t="s">
        <v>24</v>
      </c>
    </row>
    <row r="486" spans="1:17" x14ac:dyDescent="0.25">
      <c r="A486" s="2" t="s">
        <v>72</v>
      </c>
      <c r="B486" s="2">
        <v>28</v>
      </c>
      <c r="C486" s="2" t="s">
        <v>26</v>
      </c>
      <c r="D486" s="2" t="s">
        <v>19</v>
      </c>
      <c r="E486" s="2" t="s">
        <v>28</v>
      </c>
      <c r="F486" s="2" t="s">
        <v>29</v>
      </c>
      <c r="G486" s="2" t="s">
        <v>962</v>
      </c>
      <c r="H486" s="2">
        <v>1</v>
      </c>
      <c r="I486" s="2" t="s">
        <v>23</v>
      </c>
      <c r="J486" s="2">
        <v>15942</v>
      </c>
      <c r="K486" s="2">
        <v>10</v>
      </c>
      <c r="L486" s="2" t="s">
        <v>24</v>
      </c>
      <c r="M486" s="2">
        <v>4</v>
      </c>
      <c r="N486" s="2">
        <v>4</v>
      </c>
      <c r="O486" s="2">
        <v>3</v>
      </c>
      <c r="P486" s="2">
        <v>0</v>
      </c>
      <c r="Q486" s="2" t="s">
        <v>24</v>
      </c>
    </row>
    <row r="487" spans="1:17" x14ac:dyDescent="0.25">
      <c r="A487" s="2" t="s">
        <v>385</v>
      </c>
      <c r="B487" s="2">
        <v>30</v>
      </c>
      <c r="C487" s="2" t="s">
        <v>18</v>
      </c>
      <c r="D487" s="2" t="s">
        <v>33</v>
      </c>
      <c r="E487" s="2" t="s">
        <v>20</v>
      </c>
      <c r="F487" s="2" t="s">
        <v>21</v>
      </c>
      <c r="G487" s="2" t="s">
        <v>903</v>
      </c>
      <c r="H487" s="2">
        <v>0</v>
      </c>
      <c r="I487" s="2" t="s">
        <v>23</v>
      </c>
      <c r="J487" s="2">
        <v>8787</v>
      </c>
      <c r="K487" s="2">
        <v>2</v>
      </c>
      <c r="L487" s="2" t="s">
        <v>24</v>
      </c>
      <c r="M487" s="2">
        <v>1</v>
      </c>
      <c r="N487" s="2">
        <v>3</v>
      </c>
      <c r="O487" s="2">
        <v>4</v>
      </c>
      <c r="P487" s="2">
        <v>5</v>
      </c>
      <c r="Q487" s="2" t="s">
        <v>24</v>
      </c>
    </row>
    <row r="488" spans="1:17" x14ac:dyDescent="0.25">
      <c r="A488" s="2" t="s">
        <v>665</v>
      </c>
      <c r="B488" s="2">
        <v>43</v>
      </c>
      <c r="C488" s="2" t="s">
        <v>26</v>
      </c>
      <c r="D488" s="2" t="s">
        <v>33</v>
      </c>
      <c r="E488" s="2" t="s">
        <v>20</v>
      </c>
      <c r="F488" s="2" t="s">
        <v>40</v>
      </c>
      <c r="G488" s="2" t="s">
        <v>965</v>
      </c>
      <c r="H488" s="2">
        <v>0</v>
      </c>
      <c r="I488" s="2" t="s">
        <v>23</v>
      </c>
      <c r="J488" s="2">
        <v>2280</v>
      </c>
      <c r="K488" s="2">
        <v>17</v>
      </c>
      <c r="L488" s="2" t="s">
        <v>24</v>
      </c>
      <c r="M488" s="2">
        <v>3</v>
      </c>
      <c r="N488" s="2">
        <v>2</v>
      </c>
      <c r="O488" s="2">
        <v>3</v>
      </c>
      <c r="P488" s="2">
        <v>4</v>
      </c>
      <c r="Q488" s="2" t="s">
        <v>24</v>
      </c>
    </row>
    <row r="489" spans="1:17" x14ac:dyDescent="0.25">
      <c r="A489" s="2" t="s">
        <v>768</v>
      </c>
      <c r="B489" s="2">
        <v>24</v>
      </c>
      <c r="C489" s="2" t="s">
        <v>26</v>
      </c>
      <c r="D489" s="2" t="s">
        <v>33</v>
      </c>
      <c r="E489" s="2" t="s">
        <v>28</v>
      </c>
      <c r="F489" s="2" t="s">
        <v>64</v>
      </c>
      <c r="G489" s="2" t="s">
        <v>187</v>
      </c>
      <c r="H489" s="2">
        <v>0</v>
      </c>
      <c r="I489" s="2" t="s">
        <v>23</v>
      </c>
      <c r="J489" s="2">
        <v>5516</v>
      </c>
      <c r="K489" s="2">
        <v>4</v>
      </c>
      <c r="L489" s="2" t="s">
        <v>24</v>
      </c>
      <c r="M489" s="2">
        <v>4</v>
      </c>
      <c r="N489" s="2">
        <v>1</v>
      </c>
      <c r="O489" s="2">
        <v>3</v>
      </c>
      <c r="P489" s="2">
        <v>3</v>
      </c>
      <c r="Q489" s="2" t="s">
        <v>24</v>
      </c>
    </row>
    <row r="490" spans="1:17" x14ac:dyDescent="0.25">
      <c r="A490" s="2" t="s">
        <v>503</v>
      </c>
      <c r="B490" s="2">
        <v>37</v>
      </c>
      <c r="C490" s="2" t="s">
        <v>18</v>
      </c>
      <c r="D490" s="2" t="s">
        <v>33</v>
      </c>
      <c r="E490" s="2" t="s">
        <v>28</v>
      </c>
      <c r="F490" s="2" t="s">
        <v>64</v>
      </c>
      <c r="G490" s="2" t="s">
        <v>968</v>
      </c>
      <c r="H490" s="2">
        <v>0</v>
      </c>
      <c r="I490" s="2" t="s">
        <v>23</v>
      </c>
      <c r="J490" s="2">
        <v>3779</v>
      </c>
      <c r="K490" s="2">
        <v>16</v>
      </c>
      <c r="L490" s="2" t="s">
        <v>24</v>
      </c>
      <c r="M490" s="2">
        <v>4</v>
      </c>
      <c r="N490" s="2">
        <v>3</v>
      </c>
      <c r="O490" s="2">
        <v>3</v>
      </c>
      <c r="P490" s="2">
        <v>4</v>
      </c>
      <c r="Q490" s="2" t="s">
        <v>24</v>
      </c>
    </row>
    <row r="491" spans="1:17" x14ac:dyDescent="0.25">
      <c r="A491" s="2" t="s">
        <v>1022</v>
      </c>
      <c r="B491" s="2">
        <v>27</v>
      </c>
      <c r="C491" s="2" t="s">
        <v>26</v>
      </c>
      <c r="D491" s="2" t="s">
        <v>33</v>
      </c>
      <c r="E491" s="2" t="s">
        <v>28</v>
      </c>
      <c r="F491" s="2" t="s">
        <v>34</v>
      </c>
      <c r="G491" s="2" t="s">
        <v>970</v>
      </c>
      <c r="H491" s="2">
        <v>3</v>
      </c>
      <c r="I491" s="2" t="s">
        <v>42</v>
      </c>
      <c r="J491" s="2">
        <v>3050</v>
      </c>
      <c r="K491" s="2">
        <v>4</v>
      </c>
      <c r="L491" s="2" t="s">
        <v>24</v>
      </c>
      <c r="M491" s="2">
        <v>1</v>
      </c>
      <c r="N491" s="2">
        <v>3</v>
      </c>
      <c r="O491" s="2">
        <v>3</v>
      </c>
      <c r="P491" s="2">
        <v>0</v>
      </c>
      <c r="Q491" s="2" t="s">
        <v>24</v>
      </c>
    </row>
    <row r="492" spans="1:17" x14ac:dyDescent="0.25">
      <c r="A492" s="2" t="s">
        <v>752</v>
      </c>
      <c r="B492" s="2">
        <v>27</v>
      </c>
      <c r="C492" s="2" t="s">
        <v>18</v>
      </c>
      <c r="D492" s="2" t="s">
        <v>27</v>
      </c>
      <c r="E492" s="2" t="s">
        <v>20</v>
      </c>
      <c r="F492" s="2" t="s">
        <v>40</v>
      </c>
      <c r="G492" s="2" t="s">
        <v>972</v>
      </c>
      <c r="H492" s="2">
        <v>4</v>
      </c>
      <c r="I492" s="2" t="s">
        <v>42</v>
      </c>
      <c r="J492" s="2">
        <v>4315</v>
      </c>
      <c r="K492" s="2">
        <v>2</v>
      </c>
      <c r="L492" s="2" t="s">
        <v>24</v>
      </c>
      <c r="M492" s="2">
        <v>4</v>
      </c>
      <c r="N492" s="2">
        <v>4</v>
      </c>
      <c r="O492" s="2">
        <v>3</v>
      </c>
      <c r="P492" s="2">
        <v>3</v>
      </c>
      <c r="Q492" s="2" t="s">
        <v>36</v>
      </c>
    </row>
    <row r="493" spans="1:17" x14ac:dyDescent="0.25">
      <c r="A493" s="2" t="s">
        <v>986</v>
      </c>
      <c r="B493" s="2">
        <v>20</v>
      </c>
      <c r="C493" s="2" t="s">
        <v>18</v>
      </c>
      <c r="D493" s="2" t="s">
        <v>33</v>
      </c>
      <c r="E493" s="2" t="s">
        <v>20</v>
      </c>
      <c r="F493" s="2" t="s">
        <v>21</v>
      </c>
      <c r="G493" s="2" t="s">
        <v>974</v>
      </c>
      <c r="H493" s="2">
        <v>0</v>
      </c>
      <c r="I493" s="2" t="s">
        <v>23</v>
      </c>
      <c r="J493" s="2">
        <v>12818</v>
      </c>
      <c r="K493" s="2">
        <v>10</v>
      </c>
      <c r="L493" s="2" t="s">
        <v>36</v>
      </c>
      <c r="M493" s="2">
        <v>2</v>
      </c>
      <c r="N493" s="2">
        <v>2</v>
      </c>
      <c r="O493" s="2">
        <v>3</v>
      </c>
      <c r="P493" s="2">
        <v>0</v>
      </c>
      <c r="Q493" s="2" t="s">
        <v>24</v>
      </c>
    </row>
    <row r="494" spans="1:17" x14ac:dyDescent="0.25">
      <c r="A494" s="2" t="s">
        <v>480</v>
      </c>
      <c r="B494" s="2">
        <v>21</v>
      </c>
      <c r="C494" s="2" t="s">
        <v>26</v>
      </c>
      <c r="D494" s="2" t="s">
        <v>33</v>
      </c>
      <c r="E494" s="2" t="s">
        <v>110</v>
      </c>
      <c r="F494" s="2" t="s">
        <v>128</v>
      </c>
      <c r="G494" s="2" t="s">
        <v>976</v>
      </c>
      <c r="H494" s="2">
        <v>2</v>
      </c>
      <c r="I494" s="2" t="s">
        <v>23</v>
      </c>
      <c r="J494" s="2">
        <v>10729</v>
      </c>
      <c r="K494" s="2">
        <v>9</v>
      </c>
      <c r="L494" s="2" t="s">
        <v>36</v>
      </c>
      <c r="M494" s="2">
        <v>3</v>
      </c>
      <c r="N494" s="2">
        <v>3</v>
      </c>
      <c r="O494" s="2">
        <v>3</v>
      </c>
      <c r="P494" s="2">
        <v>0</v>
      </c>
      <c r="Q494" s="2" t="s">
        <v>36</v>
      </c>
    </row>
    <row r="495" spans="1:17" x14ac:dyDescent="0.25">
      <c r="A495" s="2" t="s">
        <v>520</v>
      </c>
      <c r="B495" s="2">
        <v>20</v>
      </c>
      <c r="C495" s="2" t="s">
        <v>26</v>
      </c>
      <c r="D495" s="2" t="s">
        <v>27</v>
      </c>
      <c r="E495" s="2" t="s">
        <v>20</v>
      </c>
      <c r="F495" s="2" t="s">
        <v>40</v>
      </c>
      <c r="G495" s="2" t="s">
        <v>978</v>
      </c>
      <c r="H495" s="2">
        <v>9</v>
      </c>
      <c r="I495" s="2" t="s">
        <v>31</v>
      </c>
      <c r="J495" s="2">
        <v>4203</v>
      </c>
      <c r="K495" s="2">
        <v>6</v>
      </c>
      <c r="L495" s="2" t="s">
        <v>24</v>
      </c>
      <c r="M495" s="2">
        <v>4</v>
      </c>
      <c r="N495" s="2">
        <v>4</v>
      </c>
      <c r="O495" s="2">
        <v>3</v>
      </c>
      <c r="P495" s="2">
        <v>1</v>
      </c>
      <c r="Q495" s="2" t="s">
        <v>24</v>
      </c>
    </row>
    <row r="496" spans="1:17" x14ac:dyDescent="0.25">
      <c r="A496" s="2" t="s">
        <v>498</v>
      </c>
      <c r="B496" s="2">
        <v>38</v>
      </c>
      <c r="C496" s="2" t="s">
        <v>26</v>
      </c>
      <c r="D496" s="2" t="s">
        <v>19</v>
      </c>
      <c r="E496" s="2" t="s">
        <v>28</v>
      </c>
      <c r="F496" s="2" t="s">
        <v>34</v>
      </c>
      <c r="G496" s="2" t="s">
        <v>980</v>
      </c>
      <c r="H496" s="2">
        <v>3</v>
      </c>
      <c r="I496" s="2" t="s">
        <v>42</v>
      </c>
      <c r="J496" s="2">
        <v>3306</v>
      </c>
      <c r="K496" s="2">
        <v>1</v>
      </c>
      <c r="L496" s="2" t="s">
        <v>36</v>
      </c>
      <c r="M496" s="2">
        <v>3</v>
      </c>
      <c r="N496" s="2">
        <v>4</v>
      </c>
      <c r="O496" s="2">
        <v>3</v>
      </c>
      <c r="P496" s="2">
        <v>2</v>
      </c>
      <c r="Q496" s="2" t="s">
        <v>24</v>
      </c>
    </row>
    <row r="497" spans="1:17" x14ac:dyDescent="0.25">
      <c r="A497" s="2" t="s">
        <v>444</v>
      </c>
      <c r="B497" s="2">
        <v>41</v>
      </c>
      <c r="C497" s="2" t="s">
        <v>18</v>
      </c>
      <c r="D497" s="2" t="s">
        <v>19</v>
      </c>
      <c r="E497" s="2" t="s">
        <v>20</v>
      </c>
      <c r="F497" s="2" t="s">
        <v>40</v>
      </c>
      <c r="G497" s="2" t="s">
        <v>954</v>
      </c>
      <c r="H497" s="2">
        <v>0</v>
      </c>
      <c r="I497" s="2" t="s">
        <v>23</v>
      </c>
      <c r="J497" s="2">
        <v>3224</v>
      </c>
      <c r="K497" s="2">
        <v>8</v>
      </c>
      <c r="L497" s="2" t="s">
        <v>24</v>
      </c>
      <c r="M497" s="2">
        <v>4</v>
      </c>
      <c r="N497" s="2">
        <v>3</v>
      </c>
      <c r="O497" s="2">
        <v>3</v>
      </c>
      <c r="P497" s="2">
        <v>1</v>
      </c>
      <c r="Q497" s="2" t="s">
        <v>24</v>
      </c>
    </row>
    <row r="498" spans="1:17" x14ac:dyDescent="0.25">
      <c r="A498" s="2" t="s">
        <v>826</v>
      </c>
      <c r="B498" s="2">
        <v>21</v>
      </c>
      <c r="C498" s="2" t="s">
        <v>18</v>
      </c>
      <c r="D498" s="2" t="s">
        <v>27</v>
      </c>
      <c r="E498" s="2" t="s">
        <v>28</v>
      </c>
      <c r="F498" s="2" t="s">
        <v>64</v>
      </c>
      <c r="G498" s="2" t="s">
        <v>983</v>
      </c>
      <c r="H498" s="2">
        <v>3</v>
      </c>
      <c r="I498" s="2" t="s">
        <v>42</v>
      </c>
      <c r="J498" s="2">
        <v>6529</v>
      </c>
      <c r="K498" s="2">
        <v>19</v>
      </c>
      <c r="L498" s="2" t="s">
        <v>36</v>
      </c>
      <c r="M498" s="2">
        <v>4</v>
      </c>
      <c r="N498" s="2">
        <v>3</v>
      </c>
      <c r="O498" s="2">
        <v>3</v>
      </c>
      <c r="P498" s="2">
        <v>5</v>
      </c>
      <c r="Q498" s="2" t="s">
        <v>24</v>
      </c>
    </row>
    <row r="499" spans="1:17" x14ac:dyDescent="0.25">
      <c r="A499" s="2" t="s">
        <v>770</v>
      </c>
      <c r="B499" s="2">
        <v>23</v>
      </c>
      <c r="C499" s="2" t="s">
        <v>26</v>
      </c>
      <c r="D499" s="2" t="s">
        <v>19</v>
      </c>
      <c r="E499" s="2" t="s">
        <v>28</v>
      </c>
      <c r="F499" s="2" t="s">
        <v>34</v>
      </c>
      <c r="G499" s="2" t="s">
        <v>985</v>
      </c>
      <c r="H499" s="2">
        <v>4</v>
      </c>
      <c r="I499" s="2" t="s">
        <v>42</v>
      </c>
      <c r="J499" s="2">
        <v>3293</v>
      </c>
      <c r="K499" s="2">
        <v>5</v>
      </c>
      <c r="L499" s="2" t="s">
        <v>24</v>
      </c>
      <c r="M499" s="2">
        <v>3</v>
      </c>
      <c r="N499" s="2">
        <v>3</v>
      </c>
      <c r="O499" s="2">
        <v>3</v>
      </c>
      <c r="P499" s="2">
        <v>5</v>
      </c>
      <c r="Q499" s="2" t="s">
        <v>24</v>
      </c>
    </row>
    <row r="500" spans="1:17" x14ac:dyDescent="0.25">
      <c r="A500" s="2" t="s">
        <v>598</v>
      </c>
      <c r="B500" s="2">
        <v>24</v>
      </c>
      <c r="C500" s="2" t="s">
        <v>18</v>
      </c>
      <c r="D500" s="2" t="s">
        <v>33</v>
      </c>
      <c r="E500" s="2" t="s">
        <v>28</v>
      </c>
      <c r="F500" s="2" t="s">
        <v>59</v>
      </c>
      <c r="G500" s="2" t="s">
        <v>87</v>
      </c>
      <c r="H500" s="2">
        <v>1</v>
      </c>
      <c r="I500" s="2" t="s">
        <v>23</v>
      </c>
      <c r="J500" s="2">
        <v>6366</v>
      </c>
      <c r="K500" s="2">
        <v>27</v>
      </c>
      <c r="L500" s="2" t="s">
        <v>24</v>
      </c>
      <c r="M500" s="2">
        <v>3</v>
      </c>
      <c r="N500" s="2">
        <v>2</v>
      </c>
      <c r="O500" s="2">
        <v>3</v>
      </c>
      <c r="P500" s="2">
        <v>4</v>
      </c>
      <c r="Q500" s="2" t="s">
        <v>36</v>
      </c>
    </row>
    <row r="501" spans="1:17" x14ac:dyDescent="0.25">
      <c r="A501" s="2" t="s">
        <v>898</v>
      </c>
      <c r="B501" s="2">
        <v>45</v>
      </c>
      <c r="C501" s="2" t="s">
        <v>26</v>
      </c>
      <c r="D501" s="2" t="s">
        <v>33</v>
      </c>
      <c r="E501" s="2" t="s">
        <v>28</v>
      </c>
      <c r="F501" s="2" t="s">
        <v>29</v>
      </c>
      <c r="G501" s="2" t="s">
        <v>194</v>
      </c>
      <c r="H501" s="2">
        <v>2</v>
      </c>
      <c r="I501" s="2" t="s">
        <v>23</v>
      </c>
      <c r="J501" s="2">
        <v>11884</v>
      </c>
      <c r="K501" s="2">
        <v>10</v>
      </c>
      <c r="L501" s="2" t="s">
        <v>36</v>
      </c>
      <c r="M501" s="2">
        <v>3</v>
      </c>
      <c r="N501" s="2">
        <v>3</v>
      </c>
      <c r="O501" s="2">
        <v>3</v>
      </c>
      <c r="P501" s="2">
        <v>3</v>
      </c>
      <c r="Q501" s="2" t="s">
        <v>24</v>
      </c>
    </row>
    <row r="502" spans="1:17" x14ac:dyDescent="0.25">
      <c r="A502" s="2" t="s">
        <v>833</v>
      </c>
      <c r="B502" s="2">
        <v>37</v>
      </c>
      <c r="C502" s="2" t="s">
        <v>18</v>
      </c>
      <c r="D502" s="2" t="s">
        <v>19</v>
      </c>
      <c r="E502" s="2" t="s">
        <v>28</v>
      </c>
      <c r="F502" s="2" t="s">
        <v>29</v>
      </c>
      <c r="G502" s="2" t="s">
        <v>989</v>
      </c>
      <c r="H502" s="2">
        <v>1</v>
      </c>
      <c r="I502" s="2" t="s">
        <v>23</v>
      </c>
      <c r="J502" s="2">
        <v>10474</v>
      </c>
      <c r="K502" s="2">
        <v>1</v>
      </c>
      <c r="L502" s="2" t="s">
        <v>24</v>
      </c>
      <c r="M502" s="2">
        <v>3</v>
      </c>
      <c r="N502" s="2">
        <v>1</v>
      </c>
      <c r="O502" s="2">
        <v>3</v>
      </c>
      <c r="P502" s="2">
        <v>5</v>
      </c>
      <c r="Q502" s="2" t="s">
        <v>24</v>
      </c>
    </row>
    <row r="503" spans="1:17" x14ac:dyDescent="0.25">
      <c r="A503" s="2" t="s">
        <v>1083</v>
      </c>
      <c r="B503" s="2">
        <v>40</v>
      </c>
      <c r="C503" s="2" t="s">
        <v>18</v>
      </c>
      <c r="D503" s="2" t="s">
        <v>19</v>
      </c>
      <c r="E503" s="2" t="s">
        <v>28</v>
      </c>
      <c r="F503" s="2" t="s">
        <v>29</v>
      </c>
      <c r="G503" s="2" t="s">
        <v>991</v>
      </c>
      <c r="H503" s="2">
        <v>10</v>
      </c>
      <c r="I503" s="2" t="s">
        <v>31</v>
      </c>
      <c r="J503" s="2">
        <v>13431</v>
      </c>
      <c r="K503" s="2">
        <v>13</v>
      </c>
      <c r="L503" s="2" t="s">
        <v>24</v>
      </c>
      <c r="M503" s="2">
        <v>4</v>
      </c>
      <c r="N503" s="2">
        <v>3</v>
      </c>
      <c r="O503" s="2">
        <v>3</v>
      </c>
      <c r="P503" s="2">
        <v>4</v>
      </c>
      <c r="Q503" s="2" t="s">
        <v>24</v>
      </c>
    </row>
    <row r="504" spans="1:17" x14ac:dyDescent="0.25">
      <c r="A504" s="2" t="s">
        <v>649</v>
      </c>
      <c r="B504" s="2">
        <v>28</v>
      </c>
      <c r="C504" s="2" t="s">
        <v>26</v>
      </c>
      <c r="D504" s="2" t="s">
        <v>19</v>
      </c>
      <c r="E504" s="2" t="s">
        <v>28</v>
      </c>
      <c r="F504" s="2" t="s">
        <v>64</v>
      </c>
      <c r="G504" s="2" t="s">
        <v>993</v>
      </c>
      <c r="H504" s="2">
        <v>3</v>
      </c>
      <c r="I504" s="2" t="s">
        <v>42</v>
      </c>
      <c r="J504" s="2">
        <v>4813</v>
      </c>
      <c r="K504" s="2">
        <v>8</v>
      </c>
      <c r="L504" s="2" t="s">
        <v>24</v>
      </c>
      <c r="M504" s="2">
        <v>4</v>
      </c>
      <c r="N504" s="2">
        <v>2</v>
      </c>
      <c r="O504" s="2">
        <v>3</v>
      </c>
      <c r="P504" s="2">
        <v>1</v>
      </c>
      <c r="Q504" s="2" t="s">
        <v>36</v>
      </c>
    </row>
    <row r="505" spans="1:17" x14ac:dyDescent="0.25">
      <c r="A505" s="2" t="s">
        <v>1096</v>
      </c>
      <c r="B505" s="2">
        <v>37</v>
      </c>
      <c r="C505" s="2" t="s">
        <v>26</v>
      </c>
      <c r="D505" s="2" t="s">
        <v>33</v>
      </c>
      <c r="E505" s="2" t="s">
        <v>20</v>
      </c>
      <c r="F505" s="2" t="s">
        <v>40</v>
      </c>
      <c r="G505" s="2" t="s">
        <v>995</v>
      </c>
      <c r="H505" s="2">
        <v>2</v>
      </c>
      <c r="I505" s="2" t="s">
        <v>23</v>
      </c>
      <c r="J505" s="2">
        <v>4243</v>
      </c>
      <c r="K505" s="2">
        <v>10</v>
      </c>
      <c r="L505" s="2" t="s">
        <v>24</v>
      </c>
      <c r="M505" s="2">
        <v>2</v>
      </c>
      <c r="N505" s="2">
        <v>2</v>
      </c>
      <c r="O505" s="2">
        <v>3</v>
      </c>
      <c r="P505" s="2">
        <v>0</v>
      </c>
      <c r="Q505" s="2" t="s">
        <v>24</v>
      </c>
    </row>
    <row r="506" spans="1:17" x14ac:dyDescent="0.25">
      <c r="A506" s="2" t="s">
        <v>293</v>
      </c>
      <c r="B506" s="2">
        <v>38</v>
      </c>
      <c r="C506" s="2" t="s">
        <v>18</v>
      </c>
      <c r="D506" s="2" t="s">
        <v>19</v>
      </c>
      <c r="E506" s="2" t="s">
        <v>28</v>
      </c>
      <c r="F506" s="2" t="s">
        <v>34</v>
      </c>
      <c r="G506" s="2" t="s">
        <v>997</v>
      </c>
      <c r="H506" s="2">
        <v>2</v>
      </c>
      <c r="I506" s="2" t="s">
        <v>23</v>
      </c>
      <c r="J506" s="2">
        <v>2847</v>
      </c>
      <c r="K506" s="2">
        <v>1</v>
      </c>
      <c r="L506" s="2" t="s">
        <v>36</v>
      </c>
      <c r="M506" s="2">
        <v>3</v>
      </c>
      <c r="N506" s="2">
        <v>3</v>
      </c>
      <c r="O506" s="2">
        <v>3</v>
      </c>
      <c r="P506" s="2">
        <v>1</v>
      </c>
      <c r="Q506" s="2" t="s">
        <v>24</v>
      </c>
    </row>
    <row r="507" spans="1:17" x14ac:dyDescent="0.25">
      <c r="A507" s="2" t="s">
        <v>929</v>
      </c>
      <c r="B507" s="2">
        <v>47</v>
      </c>
      <c r="C507" s="2" t="s">
        <v>26</v>
      </c>
      <c r="D507" s="2" t="s">
        <v>33</v>
      </c>
      <c r="E507" s="2" t="s">
        <v>20</v>
      </c>
      <c r="F507" s="2" t="s">
        <v>40</v>
      </c>
      <c r="G507" s="2" t="s">
        <v>999</v>
      </c>
      <c r="H507" s="2">
        <v>4</v>
      </c>
      <c r="I507" s="2" t="s">
        <v>42</v>
      </c>
      <c r="J507" s="2">
        <v>3252</v>
      </c>
      <c r="K507" s="2">
        <v>2</v>
      </c>
      <c r="L507" s="2" t="s">
        <v>24</v>
      </c>
      <c r="M507" s="2">
        <v>2</v>
      </c>
      <c r="N507" s="2">
        <v>2</v>
      </c>
      <c r="O507" s="2">
        <v>3</v>
      </c>
      <c r="P507" s="2">
        <v>3</v>
      </c>
      <c r="Q507" s="2" t="s">
        <v>36</v>
      </c>
    </row>
    <row r="508" spans="1:17" x14ac:dyDescent="0.25">
      <c r="A508" s="2" t="s">
        <v>277</v>
      </c>
      <c r="B508" s="2">
        <v>34</v>
      </c>
      <c r="C508" s="2" t="s">
        <v>18</v>
      </c>
      <c r="D508" s="2" t="s">
        <v>19</v>
      </c>
      <c r="E508" s="2" t="s">
        <v>28</v>
      </c>
      <c r="F508" s="2" t="s">
        <v>59</v>
      </c>
      <c r="G508" s="2" t="s">
        <v>1001</v>
      </c>
      <c r="H508" s="2">
        <v>7</v>
      </c>
      <c r="I508" s="2" t="s">
        <v>31</v>
      </c>
      <c r="J508" s="2">
        <v>5356</v>
      </c>
      <c r="K508" s="2">
        <v>1</v>
      </c>
      <c r="L508" s="2" t="s">
        <v>24</v>
      </c>
      <c r="M508" s="2">
        <v>3</v>
      </c>
      <c r="N508" s="2">
        <v>3</v>
      </c>
      <c r="O508" s="2">
        <v>3</v>
      </c>
      <c r="P508" s="2">
        <v>4</v>
      </c>
      <c r="Q508" s="2" t="s">
        <v>24</v>
      </c>
    </row>
    <row r="509" spans="1:17" x14ac:dyDescent="0.25">
      <c r="A509" s="2" t="s">
        <v>704</v>
      </c>
      <c r="B509" s="2">
        <v>23</v>
      </c>
      <c r="C509" s="2" t="s">
        <v>26</v>
      </c>
      <c r="D509" s="2" t="s">
        <v>33</v>
      </c>
      <c r="E509" s="2" t="s">
        <v>28</v>
      </c>
      <c r="F509" s="2" t="s">
        <v>59</v>
      </c>
      <c r="G509" s="2" t="s">
        <v>1003</v>
      </c>
      <c r="H509" s="2">
        <v>6</v>
      </c>
      <c r="I509" s="2" t="s">
        <v>31</v>
      </c>
      <c r="J509" s="2">
        <v>6042</v>
      </c>
      <c r="K509" s="2">
        <v>1</v>
      </c>
      <c r="L509" s="2" t="s">
        <v>36</v>
      </c>
      <c r="M509" s="2">
        <v>3</v>
      </c>
      <c r="N509" s="2">
        <v>2</v>
      </c>
      <c r="O509" s="2">
        <v>3</v>
      </c>
      <c r="P509" s="2">
        <v>1</v>
      </c>
      <c r="Q509" s="2" t="s">
        <v>24</v>
      </c>
    </row>
    <row r="510" spans="1:17" x14ac:dyDescent="0.25">
      <c r="A510" s="2" t="s">
        <v>537</v>
      </c>
      <c r="B510" s="2">
        <v>31</v>
      </c>
      <c r="C510" s="2" t="s">
        <v>18</v>
      </c>
      <c r="D510" s="2" t="s">
        <v>19</v>
      </c>
      <c r="E510" s="2" t="s">
        <v>28</v>
      </c>
      <c r="F510" s="2" t="s">
        <v>59</v>
      </c>
      <c r="G510" s="2" t="s">
        <v>1005</v>
      </c>
      <c r="H510" s="2">
        <v>1</v>
      </c>
      <c r="I510" s="2" t="s">
        <v>23</v>
      </c>
      <c r="J510" s="2">
        <v>5250</v>
      </c>
      <c r="K510" s="2">
        <v>1</v>
      </c>
      <c r="L510" s="2" t="s">
        <v>24</v>
      </c>
      <c r="M510" s="2">
        <v>4</v>
      </c>
      <c r="N510" s="2">
        <v>4</v>
      </c>
      <c r="O510" s="2">
        <v>3</v>
      </c>
      <c r="P510" s="2">
        <v>2</v>
      </c>
      <c r="Q510" s="2" t="s">
        <v>36</v>
      </c>
    </row>
    <row r="511" spans="1:17" x14ac:dyDescent="0.25">
      <c r="A511" s="2" t="s">
        <v>587</v>
      </c>
      <c r="B511" s="2">
        <v>37</v>
      </c>
      <c r="C511" s="2" t="s">
        <v>26</v>
      </c>
      <c r="D511" s="2" t="s">
        <v>19</v>
      </c>
      <c r="E511" s="2" t="s">
        <v>28</v>
      </c>
      <c r="F511" s="2" t="s">
        <v>29</v>
      </c>
      <c r="G511" s="2" t="s">
        <v>1007</v>
      </c>
      <c r="H511" s="2">
        <v>1</v>
      </c>
      <c r="I511" s="2" t="s">
        <v>23</v>
      </c>
      <c r="J511" s="2">
        <v>9817</v>
      </c>
      <c r="K511" s="2">
        <v>2</v>
      </c>
      <c r="L511" s="2" t="s">
        <v>36</v>
      </c>
      <c r="M511" s="2">
        <v>3</v>
      </c>
      <c r="N511" s="2">
        <v>3</v>
      </c>
      <c r="O511" s="2">
        <v>3</v>
      </c>
      <c r="P511" s="2">
        <v>0</v>
      </c>
      <c r="Q511" s="2" t="s">
        <v>24</v>
      </c>
    </row>
    <row r="512" spans="1:17" x14ac:dyDescent="0.25">
      <c r="A512" s="2" t="s">
        <v>803</v>
      </c>
      <c r="B512" s="2">
        <v>53</v>
      </c>
      <c r="C512" s="2" t="s">
        <v>26</v>
      </c>
      <c r="D512" s="2" t="s">
        <v>19</v>
      </c>
      <c r="E512" s="2" t="s">
        <v>20</v>
      </c>
      <c r="F512" s="2" t="s">
        <v>44</v>
      </c>
      <c r="G512" s="2" t="s">
        <v>1009</v>
      </c>
      <c r="H512" s="2">
        <v>14</v>
      </c>
      <c r="I512" s="2" t="s">
        <v>92</v>
      </c>
      <c r="J512" s="2">
        <v>6325</v>
      </c>
      <c r="K512" s="2">
        <v>1</v>
      </c>
      <c r="L512" s="2" t="s">
        <v>24</v>
      </c>
      <c r="M512" s="2">
        <v>3</v>
      </c>
      <c r="N512" s="2">
        <v>3</v>
      </c>
      <c r="O512" s="2">
        <v>3</v>
      </c>
      <c r="P512" s="2">
        <v>2</v>
      </c>
      <c r="Q512" s="2" t="s">
        <v>24</v>
      </c>
    </row>
    <row r="513" spans="1:17" x14ac:dyDescent="0.25">
      <c r="A513" s="2" t="s">
        <v>465</v>
      </c>
      <c r="B513" s="2">
        <v>28</v>
      </c>
      <c r="C513" s="2" t="s">
        <v>26</v>
      </c>
      <c r="D513" s="2" t="s">
        <v>19</v>
      </c>
      <c r="E513" s="2" t="s">
        <v>20</v>
      </c>
      <c r="F513" s="2" t="s">
        <v>21</v>
      </c>
      <c r="G513" s="2" t="s">
        <v>489</v>
      </c>
      <c r="H513" s="2">
        <v>4</v>
      </c>
      <c r="I513" s="2" t="s">
        <v>42</v>
      </c>
      <c r="J513" s="2">
        <v>10190</v>
      </c>
      <c r="K513" s="2">
        <v>10</v>
      </c>
      <c r="L513" s="2" t="s">
        <v>36</v>
      </c>
      <c r="M513" s="2">
        <v>1</v>
      </c>
      <c r="N513" s="2">
        <v>2</v>
      </c>
      <c r="O513" s="2">
        <v>3</v>
      </c>
      <c r="P513" s="2">
        <v>4</v>
      </c>
      <c r="Q513" s="2" t="s">
        <v>36</v>
      </c>
    </row>
    <row r="514" spans="1:17" x14ac:dyDescent="0.25">
      <c r="A514" s="2" t="s">
        <v>635</v>
      </c>
      <c r="B514" s="2">
        <v>25</v>
      </c>
      <c r="C514" s="2" t="s">
        <v>26</v>
      </c>
      <c r="D514" s="2" t="s">
        <v>19</v>
      </c>
      <c r="E514" s="2" t="s">
        <v>28</v>
      </c>
      <c r="F514" s="2" t="s">
        <v>59</v>
      </c>
      <c r="G514" s="2" t="s">
        <v>1012</v>
      </c>
      <c r="H514" s="2">
        <v>0</v>
      </c>
      <c r="I514" s="2" t="s">
        <v>23</v>
      </c>
      <c r="J514" s="2">
        <v>6691</v>
      </c>
      <c r="K514" s="2">
        <v>7</v>
      </c>
      <c r="L514" s="2" t="s">
        <v>36</v>
      </c>
      <c r="M514" s="2">
        <v>4</v>
      </c>
      <c r="N514" s="2">
        <v>2</v>
      </c>
      <c r="O514" s="2">
        <v>3</v>
      </c>
      <c r="P514" s="2">
        <v>4</v>
      </c>
      <c r="Q514" s="2" t="s">
        <v>24</v>
      </c>
    </row>
    <row r="515" spans="1:17" x14ac:dyDescent="0.25">
      <c r="A515" s="2" t="s">
        <v>440</v>
      </c>
      <c r="B515" s="2">
        <v>36</v>
      </c>
      <c r="C515" s="2" t="s">
        <v>18</v>
      </c>
      <c r="D515" s="2" t="s">
        <v>19</v>
      </c>
      <c r="E515" s="2" t="s">
        <v>28</v>
      </c>
      <c r="F515" s="2" t="s">
        <v>34</v>
      </c>
      <c r="G515" s="2" t="s">
        <v>487</v>
      </c>
      <c r="H515" s="2">
        <v>4</v>
      </c>
      <c r="I515" s="2" t="s">
        <v>42</v>
      </c>
      <c r="J515" s="2">
        <v>3288</v>
      </c>
      <c r="K515" s="2">
        <v>2</v>
      </c>
      <c r="L515" s="2" t="s">
        <v>24</v>
      </c>
      <c r="M515" s="2">
        <v>4</v>
      </c>
      <c r="N515" s="2">
        <v>1</v>
      </c>
      <c r="O515" s="2">
        <v>3</v>
      </c>
      <c r="P515" s="2">
        <v>0</v>
      </c>
      <c r="Q515" s="2" t="s">
        <v>24</v>
      </c>
    </row>
    <row r="516" spans="1:17" x14ac:dyDescent="0.25">
      <c r="A516" s="2" t="s">
        <v>101</v>
      </c>
      <c r="B516" s="2">
        <v>27</v>
      </c>
      <c r="C516" s="2" t="s">
        <v>26</v>
      </c>
      <c r="D516" s="2" t="s">
        <v>27</v>
      </c>
      <c r="E516" s="2" t="s">
        <v>28</v>
      </c>
      <c r="F516" s="2" t="s">
        <v>29</v>
      </c>
      <c r="G516" s="2" t="s">
        <v>1015</v>
      </c>
      <c r="H516" s="2">
        <v>0</v>
      </c>
      <c r="I516" s="2" t="s">
        <v>23</v>
      </c>
      <c r="J516" s="2">
        <v>10866</v>
      </c>
      <c r="K516" s="2">
        <v>8</v>
      </c>
      <c r="L516" s="2" t="s">
        <v>24</v>
      </c>
      <c r="M516" s="2">
        <v>2</v>
      </c>
      <c r="N516" s="2">
        <v>1</v>
      </c>
      <c r="O516" s="2">
        <v>3</v>
      </c>
      <c r="P516" s="2">
        <v>5</v>
      </c>
      <c r="Q516" s="2" t="s">
        <v>24</v>
      </c>
    </row>
    <row r="517" spans="1:17" x14ac:dyDescent="0.25">
      <c r="A517" s="2" t="s">
        <v>1041</v>
      </c>
      <c r="B517" s="2">
        <v>20</v>
      </c>
      <c r="C517" s="2" t="s">
        <v>26</v>
      </c>
      <c r="D517" s="2" t="s">
        <v>33</v>
      </c>
      <c r="E517" s="2" t="s">
        <v>20</v>
      </c>
      <c r="F517" s="2" t="s">
        <v>40</v>
      </c>
      <c r="G517" s="2" t="s">
        <v>1017</v>
      </c>
      <c r="H517" s="2">
        <v>0</v>
      </c>
      <c r="I517" s="2" t="s">
        <v>23</v>
      </c>
      <c r="J517" s="2">
        <v>3788</v>
      </c>
      <c r="K517" s="2">
        <v>20</v>
      </c>
      <c r="L517" s="2" t="s">
        <v>36</v>
      </c>
      <c r="M517" s="2">
        <v>2</v>
      </c>
      <c r="N517" s="2">
        <v>3</v>
      </c>
      <c r="O517" s="2">
        <v>3</v>
      </c>
      <c r="P517" s="2">
        <v>5</v>
      </c>
      <c r="Q517" s="2" t="s">
        <v>24</v>
      </c>
    </row>
    <row r="518" spans="1:17" x14ac:dyDescent="0.25">
      <c r="A518" s="2" t="s">
        <v>436</v>
      </c>
      <c r="B518" s="2">
        <v>37</v>
      </c>
      <c r="C518" s="2" t="s">
        <v>26</v>
      </c>
      <c r="D518" s="2" t="s">
        <v>19</v>
      </c>
      <c r="E518" s="2" t="s">
        <v>28</v>
      </c>
      <c r="F518" s="2" t="s">
        <v>64</v>
      </c>
      <c r="G518" s="2" t="s">
        <v>1019</v>
      </c>
      <c r="H518" s="2">
        <v>4</v>
      </c>
      <c r="I518" s="2" t="s">
        <v>42</v>
      </c>
      <c r="J518" s="2">
        <v>3712</v>
      </c>
      <c r="K518" s="2">
        <v>6</v>
      </c>
      <c r="L518" s="2" t="s">
        <v>24</v>
      </c>
      <c r="M518" s="2">
        <v>2</v>
      </c>
      <c r="N518" s="2">
        <v>4</v>
      </c>
      <c r="O518" s="2">
        <v>3</v>
      </c>
      <c r="P518" s="2">
        <v>0</v>
      </c>
      <c r="Q518" s="2" t="s">
        <v>36</v>
      </c>
    </row>
    <row r="519" spans="1:17" x14ac:dyDescent="0.25">
      <c r="A519" s="2" t="s">
        <v>48</v>
      </c>
      <c r="B519" s="2">
        <v>37</v>
      </c>
      <c r="C519" s="2" t="s">
        <v>26</v>
      </c>
      <c r="D519" s="2" t="s">
        <v>19</v>
      </c>
      <c r="E519" s="2" t="s">
        <v>20</v>
      </c>
      <c r="F519" s="2" t="s">
        <v>40</v>
      </c>
      <c r="G519" s="2" t="s">
        <v>1021</v>
      </c>
      <c r="H519" s="2">
        <v>7</v>
      </c>
      <c r="I519" s="2" t="s">
        <v>31</v>
      </c>
      <c r="J519" s="2">
        <v>5594</v>
      </c>
      <c r="K519" s="2">
        <v>10</v>
      </c>
      <c r="L519" s="2" t="s">
        <v>24</v>
      </c>
      <c r="M519" s="2">
        <v>4</v>
      </c>
      <c r="N519" s="2">
        <v>1</v>
      </c>
      <c r="O519" s="2">
        <v>3</v>
      </c>
      <c r="P519" s="2">
        <v>1</v>
      </c>
      <c r="Q519" s="2" t="s">
        <v>24</v>
      </c>
    </row>
    <row r="520" spans="1:17" x14ac:dyDescent="0.25">
      <c r="A520" s="2" t="s">
        <v>174</v>
      </c>
      <c r="B520" s="2">
        <v>51</v>
      </c>
      <c r="C520" s="2" t="s">
        <v>26</v>
      </c>
      <c r="D520" s="2" t="s">
        <v>19</v>
      </c>
      <c r="E520" s="2" t="s">
        <v>20</v>
      </c>
      <c r="F520" s="2" t="s">
        <v>40</v>
      </c>
      <c r="G520" s="2" t="s">
        <v>1023</v>
      </c>
      <c r="H520" s="2">
        <v>1</v>
      </c>
      <c r="I520" s="2" t="s">
        <v>23</v>
      </c>
      <c r="J520" s="2">
        <v>3674</v>
      </c>
      <c r="K520" s="2">
        <v>1</v>
      </c>
      <c r="L520" s="2" t="s">
        <v>24</v>
      </c>
      <c r="M520" s="2">
        <v>3</v>
      </c>
      <c r="N520" s="2">
        <v>3</v>
      </c>
      <c r="O520" s="2">
        <v>3</v>
      </c>
      <c r="P520" s="2">
        <v>4</v>
      </c>
      <c r="Q520" s="2" t="s">
        <v>24</v>
      </c>
    </row>
    <row r="521" spans="1:17" x14ac:dyDescent="0.25">
      <c r="A521" s="2" t="s">
        <v>1075</v>
      </c>
      <c r="B521" s="2">
        <v>38</v>
      </c>
      <c r="C521" s="2" t="s">
        <v>26</v>
      </c>
      <c r="D521" s="2" t="s">
        <v>33</v>
      </c>
      <c r="E521" s="2" t="s">
        <v>20</v>
      </c>
      <c r="F521" s="2" t="s">
        <v>21</v>
      </c>
      <c r="G521" s="2" t="s">
        <v>1025</v>
      </c>
      <c r="H521" s="2">
        <v>7</v>
      </c>
      <c r="I521" s="2" t="s">
        <v>31</v>
      </c>
      <c r="J521" s="2">
        <v>13032</v>
      </c>
      <c r="K521" s="2">
        <v>1</v>
      </c>
      <c r="L521" s="2" t="s">
        <v>36</v>
      </c>
      <c r="M521" s="2">
        <v>4</v>
      </c>
      <c r="N521" s="2">
        <v>4</v>
      </c>
      <c r="O521" s="2">
        <v>3</v>
      </c>
      <c r="P521" s="2">
        <v>2</v>
      </c>
      <c r="Q521" s="2" t="s">
        <v>36</v>
      </c>
    </row>
    <row r="522" spans="1:17" x14ac:dyDescent="0.25">
      <c r="A522" s="2" t="s">
        <v>1004</v>
      </c>
      <c r="B522" s="2">
        <v>51</v>
      </c>
      <c r="C522" s="2" t="s">
        <v>18</v>
      </c>
      <c r="D522" s="2" t="s">
        <v>33</v>
      </c>
      <c r="E522" s="2" t="s">
        <v>20</v>
      </c>
      <c r="F522" s="2" t="s">
        <v>44</v>
      </c>
      <c r="G522" s="2" t="s">
        <v>1027</v>
      </c>
      <c r="H522" s="2">
        <v>0</v>
      </c>
      <c r="I522" s="2" t="s">
        <v>23</v>
      </c>
      <c r="J522" s="2">
        <v>6161</v>
      </c>
      <c r="K522" s="2">
        <v>9</v>
      </c>
      <c r="L522" s="2" t="s">
        <v>24</v>
      </c>
      <c r="M522" s="2">
        <v>4</v>
      </c>
      <c r="N522" s="2">
        <v>4</v>
      </c>
      <c r="O522" s="2">
        <v>3</v>
      </c>
      <c r="P522" s="2">
        <v>3</v>
      </c>
      <c r="Q522" s="2" t="s">
        <v>24</v>
      </c>
    </row>
    <row r="523" spans="1:17" x14ac:dyDescent="0.25">
      <c r="A523" s="2" t="s">
        <v>148</v>
      </c>
      <c r="B523" s="2">
        <v>20</v>
      </c>
      <c r="C523" s="2" t="s">
        <v>18</v>
      </c>
      <c r="D523" s="2" t="s">
        <v>19</v>
      </c>
      <c r="E523" s="2" t="s">
        <v>20</v>
      </c>
      <c r="F523" s="2" t="s">
        <v>44</v>
      </c>
      <c r="G523" s="2" t="s">
        <v>1029</v>
      </c>
      <c r="H523" s="2">
        <v>3</v>
      </c>
      <c r="I523" s="2" t="s">
        <v>42</v>
      </c>
      <c r="J523" s="2">
        <v>5963</v>
      </c>
      <c r="K523" s="2">
        <v>6</v>
      </c>
      <c r="L523" s="2" t="s">
        <v>24</v>
      </c>
      <c r="M523" s="2">
        <v>2</v>
      </c>
      <c r="N523" s="2">
        <v>4</v>
      </c>
      <c r="O523" s="2">
        <v>3</v>
      </c>
      <c r="P523" s="2">
        <v>0</v>
      </c>
      <c r="Q523" s="2" t="s">
        <v>24</v>
      </c>
    </row>
    <row r="524" spans="1:17" x14ac:dyDescent="0.25">
      <c r="A524" s="2" t="s">
        <v>714</v>
      </c>
      <c r="B524" s="2">
        <v>37</v>
      </c>
      <c r="C524" s="2" t="s">
        <v>26</v>
      </c>
      <c r="D524" s="2" t="s">
        <v>19</v>
      </c>
      <c r="E524" s="2" t="s">
        <v>28</v>
      </c>
      <c r="F524" s="2" t="s">
        <v>64</v>
      </c>
      <c r="G524" s="2" t="s">
        <v>1031</v>
      </c>
      <c r="H524" s="2">
        <v>17</v>
      </c>
      <c r="I524" s="2" t="s">
        <v>92</v>
      </c>
      <c r="J524" s="2">
        <v>6579</v>
      </c>
      <c r="K524" s="2">
        <v>16</v>
      </c>
      <c r="L524" s="2" t="s">
        <v>24</v>
      </c>
      <c r="M524" s="2">
        <v>3</v>
      </c>
      <c r="N524" s="2">
        <v>3</v>
      </c>
      <c r="O524" s="2">
        <v>3</v>
      </c>
      <c r="P524" s="2">
        <v>3</v>
      </c>
      <c r="Q524" s="2" t="s">
        <v>24</v>
      </c>
    </row>
    <row r="525" spans="1:17" x14ac:dyDescent="0.25">
      <c r="A525" s="2" t="s">
        <v>237</v>
      </c>
      <c r="B525" s="2">
        <v>30</v>
      </c>
      <c r="C525" s="2" t="s">
        <v>26</v>
      </c>
      <c r="D525" s="2" t="s">
        <v>27</v>
      </c>
      <c r="E525" s="2" t="s">
        <v>28</v>
      </c>
      <c r="F525" s="2" t="s">
        <v>34</v>
      </c>
      <c r="G525" s="2" t="s">
        <v>1033</v>
      </c>
      <c r="H525" s="2">
        <v>0</v>
      </c>
      <c r="I525" s="2" t="s">
        <v>23</v>
      </c>
      <c r="J525" s="2">
        <v>3650</v>
      </c>
      <c r="K525" s="2">
        <v>1</v>
      </c>
      <c r="L525" s="2" t="s">
        <v>24</v>
      </c>
      <c r="M525" s="2">
        <v>3</v>
      </c>
      <c r="N525" s="2">
        <v>1</v>
      </c>
      <c r="O525" s="2">
        <v>4</v>
      </c>
      <c r="P525" s="2">
        <v>3</v>
      </c>
      <c r="Q525" s="2" t="s">
        <v>24</v>
      </c>
    </row>
    <row r="526" spans="1:17" x14ac:dyDescent="0.25">
      <c r="A526" s="2" t="s">
        <v>580</v>
      </c>
      <c r="B526" s="2">
        <v>32</v>
      </c>
      <c r="C526" s="2" t="s">
        <v>26</v>
      </c>
      <c r="D526" s="2" t="s">
        <v>27</v>
      </c>
      <c r="E526" s="2" t="s">
        <v>20</v>
      </c>
      <c r="F526" s="2" t="s">
        <v>44</v>
      </c>
      <c r="G526" s="2" t="s">
        <v>1035</v>
      </c>
      <c r="H526" s="2">
        <v>10</v>
      </c>
      <c r="I526" s="2" t="s">
        <v>31</v>
      </c>
      <c r="J526" s="2">
        <v>6870</v>
      </c>
      <c r="K526" s="2">
        <v>16</v>
      </c>
      <c r="L526" s="2" t="s">
        <v>24</v>
      </c>
      <c r="M526" s="2">
        <v>3</v>
      </c>
      <c r="N526" s="2">
        <v>3</v>
      </c>
      <c r="O526" s="2">
        <v>3</v>
      </c>
      <c r="P526" s="2">
        <v>4</v>
      </c>
      <c r="Q526" s="2" t="s">
        <v>24</v>
      </c>
    </row>
    <row r="527" spans="1:17" x14ac:dyDescent="0.25">
      <c r="A527" s="2" t="s">
        <v>721</v>
      </c>
      <c r="B527" s="2">
        <v>39</v>
      </c>
      <c r="C527" s="2" t="s">
        <v>26</v>
      </c>
      <c r="D527" s="2" t="s">
        <v>33</v>
      </c>
      <c r="E527" s="2" t="s">
        <v>20</v>
      </c>
      <c r="F527" s="2" t="s">
        <v>44</v>
      </c>
      <c r="G527" s="2" t="s">
        <v>1037</v>
      </c>
      <c r="H527" s="2">
        <v>9</v>
      </c>
      <c r="I527" s="2" t="s">
        <v>31</v>
      </c>
      <c r="J527" s="2">
        <v>6941</v>
      </c>
      <c r="K527" s="2">
        <v>6</v>
      </c>
      <c r="L527" s="2" t="s">
        <v>24</v>
      </c>
      <c r="M527" s="2">
        <v>3</v>
      </c>
      <c r="N527" s="2">
        <v>3</v>
      </c>
      <c r="O527" s="2">
        <v>3</v>
      </c>
      <c r="P527" s="2">
        <v>4</v>
      </c>
      <c r="Q527" s="2" t="s">
        <v>24</v>
      </c>
    </row>
    <row r="528" spans="1:17" x14ac:dyDescent="0.25">
      <c r="A528" s="2" t="s">
        <v>207</v>
      </c>
      <c r="B528" s="2">
        <v>33</v>
      </c>
      <c r="C528" s="2" t="s">
        <v>18</v>
      </c>
      <c r="D528" s="2" t="s">
        <v>27</v>
      </c>
      <c r="E528" s="2" t="s">
        <v>110</v>
      </c>
      <c r="F528" s="2" t="s">
        <v>128</v>
      </c>
      <c r="G528" s="2" t="s">
        <v>183</v>
      </c>
      <c r="H528" s="2">
        <v>6</v>
      </c>
      <c r="I528" s="2" t="s">
        <v>31</v>
      </c>
      <c r="J528" s="2">
        <v>13207</v>
      </c>
      <c r="K528" s="2">
        <v>4</v>
      </c>
      <c r="L528" s="2" t="s">
        <v>36</v>
      </c>
      <c r="M528" s="2">
        <v>3</v>
      </c>
      <c r="N528" s="2">
        <v>2</v>
      </c>
      <c r="O528" s="2">
        <v>4</v>
      </c>
      <c r="P528" s="2">
        <v>0</v>
      </c>
      <c r="Q528" s="2" t="s">
        <v>24</v>
      </c>
    </row>
    <row r="529" spans="1:17" x14ac:dyDescent="0.25">
      <c r="A529" s="2" t="s">
        <v>164</v>
      </c>
      <c r="B529" s="2">
        <v>37</v>
      </c>
      <c r="C529" s="2" t="s">
        <v>18</v>
      </c>
      <c r="D529" s="2" t="s">
        <v>33</v>
      </c>
      <c r="E529" s="2" t="s">
        <v>28</v>
      </c>
      <c r="F529" s="2" t="s">
        <v>34</v>
      </c>
      <c r="G529" s="2" t="s">
        <v>1040</v>
      </c>
      <c r="H529" s="2">
        <v>0</v>
      </c>
      <c r="I529" s="2" t="s">
        <v>23</v>
      </c>
      <c r="J529" s="2">
        <v>3802</v>
      </c>
      <c r="K529" s="2">
        <v>4</v>
      </c>
      <c r="L529" s="2" t="s">
        <v>24</v>
      </c>
      <c r="M529" s="2">
        <v>3</v>
      </c>
      <c r="N529" s="2">
        <v>3</v>
      </c>
      <c r="O529" s="2">
        <v>4</v>
      </c>
      <c r="P529" s="2">
        <v>0</v>
      </c>
      <c r="Q529" s="2" t="s">
        <v>24</v>
      </c>
    </row>
    <row r="530" spans="1:17" x14ac:dyDescent="0.25">
      <c r="A530" s="2" t="s">
        <v>984</v>
      </c>
      <c r="B530" s="2">
        <v>52</v>
      </c>
      <c r="C530" s="2" t="s">
        <v>26</v>
      </c>
      <c r="D530" s="2" t="s">
        <v>19</v>
      </c>
      <c r="E530" s="2" t="s">
        <v>110</v>
      </c>
      <c r="F530" s="2" t="s">
        <v>111</v>
      </c>
      <c r="G530" s="2" t="s">
        <v>1042</v>
      </c>
      <c r="H530" s="2">
        <v>1</v>
      </c>
      <c r="I530" s="2" t="s">
        <v>23</v>
      </c>
      <c r="J530" s="2">
        <v>5091</v>
      </c>
      <c r="K530" s="2">
        <v>17</v>
      </c>
      <c r="L530" s="2" t="s">
        <v>24</v>
      </c>
      <c r="M530" s="2">
        <v>3</v>
      </c>
      <c r="N530" s="2">
        <v>3</v>
      </c>
      <c r="O530" s="2">
        <v>3</v>
      </c>
      <c r="P530" s="2">
        <v>2</v>
      </c>
      <c r="Q530" s="2" t="s">
        <v>24</v>
      </c>
    </row>
    <row r="531" spans="1:17" x14ac:dyDescent="0.25">
      <c r="A531" s="2" t="s">
        <v>357</v>
      </c>
      <c r="B531" s="2">
        <v>36</v>
      </c>
      <c r="C531" s="2" t="s">
        <v>26</v>
      </c>
      <c r="D531" s="2" t="s">
        <v>19</v>
      </c>
      <c r="E531" s="2" t="s">
        <v>110</v>
      </c>
      <c r="F531" s="2" t="s">
        <v>189</v>
      </c>
      <c r="G531" s="2" t="s">
        <v>348</v>
      </c>
      <c r="H531" s="2">
        <v>2</v>
      </c>
      <c r="I531" s="2" t="s">
        <v>23</v>
      </c>
      <c r="J531" s="2">
        <v>4474</v>
      </c>
      <c r="K531" s="2">
        <v>5</v>
      </c>
      <c r="L531" s="2" t="s">
        <v>24</v>
      </c>
      <c r="M531" s="2">
        <v>3</v>
      </c>
      <c r="N531" s="2">
        <v>1</v>
      </c>
      <c r="O531" s="2">
        <v>4</v>
      </c>
      <c r="P531" s="2">
        <v>0</v>
      </c>
      <c r="Q531" s="2" t="s">
        <v>24</v>
      </c>
    </row>
    <row r="532" spans="1:17" x14ac:dyDescent="0.25">
      <c r="A532" s="2" t="s">
        <v>837</v>
      </c>
      <c r="B532" s="2">
        <v>46</v>
      </c>
      <c r="C532" s="2" t="s">
        <v>26</v>
      </c>
      <c r="D532" s="2" t="s">
        <v>33</v>
      </c>
      <c r="E532" s="2" t="s">
        <v>28</v>
      </c>
      <c r="F532" s="2" t="s">
        <v>64</v>
      </c>
      <c r="G532" s="2" t="s">
        <v>1045</v>
      </c>
      <c r="H532" s="2">
        <v>1</v>
      </c>
      <c r="I532" s="2" t="s">
        <v>23</v>
      </c>
      <c r="J532" s="2">
        <v>6359</v>
      </c>
      <c r="K532" s="2">
        <v>17</v>
      </c>
      <c r="L532" s="2" t="s">
        <v>24</v>
      </c>
      <c r="M532" s="2">
        <v>3</v>
      </c>
      <c r="N532" s="2">
        <v>4</v>
      </c>
      <c r="O532" s="2">
        <v>3</v>
      </c>
      <c r="P532" s="2">
        <v>4</v>
      </c>
      <c r="Q532" s="2" t="s">
        <v>24</v>
      </c>
    </row>
    <row r="533" spans="1:17" x14ac:dyDescent="0.25">
      <c r="A533" s="2" t="s">
        <v>365</v>
      </c>
      <c r="B533" s="2">
        <v>28</v>
      </c>
      <c r="C533" s="2" t="s">
        <v>26</v>
      </c>
      <c r="D533" s="2" t="s">
        <v>19</v>
      </c>
      <c r="E533" s="2" t="s">
        <v>28</v>
      </c>
      <c r="F533" s="2" t="s">
        <v>64</v>
      </c>
      <c r="G533" s="2" t="s">
        <v>1047</v>
      </c>
      <c r="H533" s="2">
        <v>16</v>
      </c>
      <c r="I533" s="2" t="s">
        <v>92</v>
      </c>
      <c r="J533" s="2">
        <v>7275</v>
      </c>
      <c r="K533" s="2">
        <v>14</v>
      </c>
      <c r="L533" s="2" t="s">
        <v>36</v>
      </c>
      <c r="M533" s="2">
        <v>2</v>
      </c>
      <c r="N533" s="2">
        <v>2</v>
      </c>
      <c r="O533" s="2">
        <v>3</v>
      </c>
      <c r="P533" s="2">
        <v>0</v>
      </c>
      <c r="Q533" s="2" t="s">
        <v>24</v>
      </c>
    </row>
    <row r="534" spans="1:17" x14ac:dyDescent="0.25">
      <c r="A534" s="2" t="s">
        <v>554</v>
      </c>
      <c r="B534" s="2">
        <v>27</v>
      </c>
      <c r="C534" s="2" t="s">
        <v>26</v>
      </c>
      <c r="D534" s="2" t="s">
        <v>19</v>
      </c>
      <c r="E534" s="2" t="s">
        <v>20</v>
      </c>
      <c r="F534" s="2" t="s">
        <v>44</v>
      </c>
      <c r="G534" s="2" t="s">
        <v>1049</v>
      </c>
      <c r="H534" s="2">
        <v>0</v>
      </c>
      <c r="I534" s="2" t="s">
        <v>23</v>
      </c>
      <c r="J534" s="2">
        <v>6106</v>
      </c>
      <c r="K534" s="2">
        <v>3</v>
      </c>
      <c r="L534" s="2" t="s">
        <v>24</v>
      </c>
      <c r="M534" s="2">
        <v>3</v>
      </c>
      <c r="N534" s="2">
        <v>4</v>
      </c>
      <c r="O534" s="2">
        <v>3</v>
      </c>
      <c r="P534" s="2">
        <v>5</v>
      </c>
      <c r="Q534" s="2" t="s">
        <v>24</v>
      </c>
    </row>
    <row r="535" spans="1:17" x14ac:dyDescent="0.25">
      <c r="A535" s="2" t="s">
        <v>545</v>
      </c>
      <c r="B535" s="2">
        <v>51</v>
      </c>
      <c r="C535" s="2" t="s">
        <v>18</v>
      </c>
      <c r="D535" s="2" t="s">
        <v>19</v>
      </c>
      <c r="E535" s="2" t="s">
        <v>110</v>
      </c>
      <c r="F535" s="2" t="s">
        <v>128</v>
      </c>
      <c r="G535" s="2" t="s">
        <v>1051</v>
      </c>
      <c r="H535" s="2">
        <v>2</v>
      </c>
      <c r="I535" s="2" t="s">
        <v>23</v>
      </c>
      <c r="J535" s="2">
        <v>9071</v>
      </c>
      <c r="K535" s="2">
        <v>5</v>
      </c>
      <c r="L535" s="2" t="s">
        <v>24</v>
      </c>
      <c r="M535" s="2">
        <v>4</v>
      </c>
      <c r="N535" s="2">
        <v>4</v>
      </c>
      <c r="O535" s="2">
        <v>3</v>
      </c>
      <c r="P535" s="2">
        <v>5</v>
      </c>
      <c r="Q535" s="2" t="s">
        <v>24</v>
      </c>
    </row>
    <row r="536" spans="1:17" x14ac:dyDescent="0.25">
      <c r="A536" s="2" t="s">
        <v>572</v>
      </c>
      <c r="B536" s="2">
        <v>34</v>
      </c>
      <c r="C536" s="2" t="s">
        <v>18</v>
      </c>
      <c r="D536" s="2" t="s">
        <v>33</v>
      </c>
      <c r="E536" s="2" t="s">
        <v>28</v>
      </c>
      <c r="F536" s="2" t="s">
        <v>59</v>
      </c>
      <c r="G536" s="2" t="s">
        <v>1053</v>
      </c>
      <c r="H536" s="2">
        <v>10</v>
      </c>
      <c r="I536" s="2" t="s">
        <v>31</v>
      </c>
      <c r="J536" s="2">
        <v>6756</v>
      </c>
      <c r="K536" s="2">
        <v>6</v>
      </c>
      <c r="L536" s="2" t="s">
        <v>24</v>
      </c>
      <c r="M536" s="2">
        <v>1</v>
      </c>
      <c r="N536" s="2">
        <v>3</v>
      </c>
      <c r="O536" s="2">
        <v>3</v>
      </c>
      <c r="P536" s="2">
        <v>4</v>
      </c>
      <c r="Q536" s="2" t="s">
        <v>24</v>
      </c>
    </row>
    <row r="537" spans="1:17" x14ac:dyDescent="0.25">
      <c r="A537" s="2" t="s">
        <v>186</v>
      </c>
      <c r="B537" s="2">
        <v>20</v>
      </c>
      <c r="C537" s="2" t="s">
        <v>26</v>
      </c>
      <c r="D537" s="2" t="s">
        <v>33</v>
      </c>
      <c r="E537" s="2" t="s">
        <v>28</v>
      </c>
      <c r="F537" s="2" t="s">
        <v>64</v>
      </c>
      <c r="G537" s="2" t="s">
        <v>1055</v>
      </c>
      <c r="H537" s="2">
        <v>2</v>
      </c>
      <c r="I537" s="2" t="s">
        <v>23</v>
      </c>
      <c r="J537" s="2">
        <v>4820</v>
      </c>
      <c r="K537" s="2">
        <v>15</v>
      </c>
      <c r="L537" s="2" t="s">
        <v>24</v>
      </c>
      <c r="M537" s="2">
        <v>4</v>
      </c>
      <c r="N537" s="2">
        <v>3</v>
      </c>
      <c r="O537" s="2">
        <v>3</v>
      </c>
      <c r="P537" s="2">
        <v>2</v>
      </c>
      <c r="Q537" s="2" t="s">
        <v>24</v>
      </c>
    </row>
    <row r="538" spans="1:17" x14ac:dyDescent="0.25">
      <c r="A538" s="2" t="s">
        <v>257</v>
      </c>
      <c r="B538" s="2">
        <v>32</v>
      </c>
      <c r="C538" s="2" t="s">
        <v>18</v>
      </c>
      <c r="D538" s="2" t="s">
        <v>19</v>
      </c>
      <c r="E538" s="2" t="s">
        <v>20</v>
      </c>
      <c r="F538" s="2" t="s">
        <v>40</v>
      </c>
      <c r="G538" s="2" t="s">
        <v>60</v>
      </c>
      <c r="H538" s="2">
        <v>5</v>
      </c>
      <c r="I538" s="2" t="s">
        <v>42</v>
      </c>
      <c r="J538" s="2">
        <v>3674</v>
      </c>
      <c r="K538" s="2">
        <v>30</v>
      </c>
      <c r="L538" s="2" t="s">
        <v>24</v>
      </c>
      <c r="M538" s="2">
        <v>3</v>
      </c>
      <c r="N538" s="2">
        <v>4</v>
      </c>
      <c r="O538" s="2">
        <v>3</v>
      </c>
      <c r="P538" s="2">
        <v>0</v>
      </c>
      <c r="Q538" s="2" t="s">
        <v>24</v>
      </c>
    </row>
    <row r="539" spans="1:17" x14ac:dyDescent="0.25">
      <c r="A539" s="2" t="s">
        <v>692</v>
      </c>
      <c r="B539" s="2">
        <v>30</v>
      </c>
      <c r="C539" s="2" t="s">
        <v>26</v>
      </c>
      <c r="D539" s="2" t="s">
        <v>19</v>
      </c>
      <c r="E539" s="2" t="s">
        <v>20</v>
      </c>
      <c r="F539" s="2" t="s">
        <v>40</v>
      </c>
      <c r="G539" s="2" t="s">
        <v>1058</v>
      </c>
      <c r="H539" s="2">
        <v>3</v>
      </c>
      <c r="I539" s="2" t="s">
        <v>42</v>
      </c>
      <c r="J539" s="2">
        <v>3607</v>
      </c>
      <c r="K539" s="2">
        <v>20</v>
      </c>
      <c r="L539" s="2" t="s">
        <v>24</v>
      </c>
      <c r="M539" s="2">
        <v>2</v>
      </c>
      <c r="N539" s="2">
        <v>2</v>
      </c>
      <c r="O539" s="2">
        <v>3</v>
      </c>
      <c r="P539" s="2">
        <v>1</v>
      </c>
      <c r="Q539" s="2" t="s">
        <v>24</v>
      </c>
    </row>
    <row r="540" spans="1:17" x14ac:dyDescent="0.25">
      <c r="A540" s="2" t="s">
        <v>708</v>
      </c>
      <c r="B540" s="2">
        <v>31</v>
      </c>
      <c r="C540" s="2" t="s">
        <v>18</v>
      </c>
      <c r="D540" s="2" t="s">
        <v>19</v>
      </c>
      <c r="E540" s="2" t="s">
        <v>20</v>
      </c>
      <c r="F540" s="2" t="s">
        <v>40</v>
      </c>
      <c r="G540" s="2" t="s">
        <v>1060</v>
      </c>
      <c r="H540" s="2">
        <v>2</v>
      </c>
      <c r="I540" s="2" t="s">
        <v>23</v>
      </c>
      <c r="J540" s="2">
        <v>4497</v>
      </c>
      <c r="K540" s="2">
        <v>10</v>
      </c>
      <c r="L540" s="2" t="s">
        <v>24</v>
      </c>
      <c r="M540" s="2">
        <v>2</v>
      </c>
      <c r="N540" s="2">
        <v>3</v>
      </c>
      <c r="O540" s="2">
        <v>3</v>
      </c>
      <c r="P540" s="2">
        <v>3</v>
      </c>
      <c r="Q540" s="2" t="s">
        <v>24</v>
      </c>
    </row>
    <row r="541" spans="1:17" x14ac:dyDescent="0.25">
      <c r="A541" s="2" t="s">
        <v>319</v>
      </c>
      <c r="B541" s="2">
        <v>39</v>
      </c>
      <c r="C541" s="2" t="s">
        <v>26</v>
      </c>
      <c r="D541" s="2" t="s">
        <v>19</v>
      </c>
      <c r="E541" s="2" t="s">
        <v>28</v>
      </c>
      <c r="F541" s="2" t="s">
        <v>34</v>
      </c>
      <c r="G541" s="2" t="s">
        <v>1062</v>
      </c>
      <c r="H541" s="2">
        <v>0</v>
      </c>
      <c r="I541" s="2" t="s">
        <v>23</v>
      </c>
      <c r="J541" s="2">
        <v>3414</v>
      </c>
      <c r="K541" s="2">
        <v>1</v>
      </c>
      <c r="L541" s="2" t="s">
        <v>24</v>
      </c>
      <c r="M541" s="2">
        <v>3</v>
      </c>
      <c r="N541" s="2">
        <v>2</v>
      </c>
      <c r="O541" s="2">
        <v>3</v>
      </c>
      <c r="P541" s="2">
        <v>5</v>
      </c>
      <c r="Q541" s="2" t="s">
        <v>24</v>
      </c>
    </row>
    <row r="542" spans="1:17" x14ac:dyDescent="0.25">
      <c r="A542" s="2" t="s">
        <v>872</v>
      </c>
      <c r="B542" s="2">
        <v>32</v>
      </c>
      <c r="C542" s="2" t="s">
        <v>26</v>
      </c>
      <c r="D542" s="2" t="s">
        <v>19</v>
      </c>
      <c r="E542" s="2" t="s">
        <v>28</v>
      </c>
      <c r="F542" s="2" t="s">
        <v>64</v>
      </c>
      <c r="G542" s="2" t="s">
        <v>1064</v>
      </c>
      <c r="H542" s="2">
        <v>0</v>
      </c>
      <c r="I542" s="2" t="s">
        <v>23</v>
      </c>
      <c r="J542" s="2">
        <v>5749</v>
      </c>
      <c r="K542" s="2">
        <v>1</v>
      </c>
      <c r="L542" s="2" t="s">
        <v>36</v>
      </c>
      <c r="M542" s="2">
        <v>1</v>
      </c>
      <c r="N542" s="2">
        <v>2</v>
      </c>
      <c r="O542" s="2">
        <v>3</v>
      </c>
      <c r="P542" s="2">
        <v>0</v>
      </c>
      <c r="Q542" s="2" t="s">
        <v>36</v>
      </c>
    </row>
    <row r="543" spans="1:17" x14ac:dyDescent="0.25">
      <c r="A543" s="2" t="s">
        <v>813</v>
      </c>
      <c r="B543" s="2">
        <v>38</v>
      </c>
      <c r="C543" s="2" t="s">
        <v>18</v>
      </c>
      <c r="D543" s="2" t="s">
        <v>19</v>
      </c>
      <c r="E543" s="2" t="s">
        <v>28</v>
      </c>
      <c r="F543" s="2" t="s">
        <v>64</v>
      </c>
      <c r="G543" s="2" t="s">
        <v>131</v>
      </c>
      <c r="H543" s="2">
        <v>6</v>
      </c>
      <c r="I543" s="2" t="s">
        <v>31</v>
      </c>
      <c r="J543" s="2">
        <v>6280</v>
      </c>
      <c r="K543" s="2">
        <v>8</v>
      </c>
      <c r="L543" s="2" t="s">
        <v>24</v>
      </c>
      <c r="M543" s="2">
        <v>1</v>
      </c>
      <c r="N543" s="2">
        <v>4</v>
      </c>
      <c r="O543" s="2">
        <v>3</v>
      </c>
      <c r="P543" s="2">
        <v>5</v>
      </c>
      <c r="Q543" s="2" t="s">
        <v>36</v>
      </c>
    </row>
    <row r="544" spans="1:17" x14ac:dyDescent="0.25">
      <c r="A544" s="2" t="s">
        <v>1092</v>
      </c>
      <c r="B544" s="2">
        <v>34</v>
      </c>
      <c r="C544" s="2" t="s">
        <v>26</v>
      </c>
      <c r="D544" s="2" t="s">
        <v>33</v>
      </c>
      <c r="E544" s="2" t="s">
        <v>20</v>
      </c>
      <c r="F544" s="2" t="s">
        <v>44</v>
      </c>
      <c r="G544" s="2" t="s">
        <v>1067</v>
      </c>
      <c r="H544" s="2">
        <v>5</v>
      </c>
      <c r="I544" s="2" t="s">
        <v>42</v>
      </c>
      <c r="J544" s="2">
        <v>5344</v>
      </c>
      <c r="K544" s="2">
        <v>6</v>
      </c>
      <c r="L544" s="2" t="s">
        <v>24</v>
      </c>
      <c r="M544" s="2">
        <v>4</v>
      </c>
      <c r="N544" s="2">
        <v>1</v>
      </c>
      <c r="O544" s="2">
        <v>4</v>
      </c>
      <c r="P544" s="2">
        <v>0</v>
      </c>
      <c r="Q544" s="2" t="s">
        <v>24</v>
      </c>
    </row>
    <row r="545" spans="1:17" x14ac:dyDescent="0.25">
      <c r="A545" s="2" t="s">
        <v>446</v>
      </c>
      <c r="B545" s="2">
        <v>23</v>
      </c>
      <c r="C545" s="2" t="s">
        <v>26</v>
      </c>
      <c r="D545" s="2" t="s">
        <v>33</v>
      </c>
      <c r="E545" s="2" t="s">
        <v>20</v>
      </c>
      <c r="F545" s="2" t="s">
        <v>21</v>
      </c>
      <c r="G545" s="2" t="s">
        <v>1069</v>
      </c>
      <c r="H545" s="2">
        <v>3</v>
      </c>
      <c r="I545" s="2" t="s">
        <v>42</v>
      </c>
      <c r="J545" s="2">
        <v>13203</v>
      </c>
      <c r="K545" s="2">
        <v>6</v>
      </c>
      <c r="L545" s="2" t="s">
        <v>36</v>
      </c>
      <c r="M545" s="2">
        <v>1</v>
      </c>
      <c r="N545" s="2">
        <v>2</v>
      </c>
      <c r="O545" s="2">
        <v>3</v>
      </c>
      <c r="P545" s="2">
        <v>4</v>
      </c>
      <c r="Q545" s="2" t="s">
        <v>36</v>
      </c>
    </row>
    <row r="546" spans="1:17" x14ac:dyDescent="0.25">
      <c r="A546" s="2" t="s">
        <v>866</v>
      </c>
      <c r="B546" s="2">
        <v>38</v>
      </c>
      <c r="C546" s="2" t="s">
        <v>18</v>
      </c>
      <c r="D546" s="2" t="s">
        <v>19</v>
      </c>
      <c r="E546" s="2" t="s">
        <v>28</v>
      </c>
      <c r="F546" s="2" t="s">
        <v>64</v>
      </c>
      <c r="G546" s="2" t="s">
        <v>1071</v>
      </c>
      <c r="H546" s="2">
        <v>11</v>
      </c>
      <c r="I546" s="2" t="s">
        <v>92</v>
      </c>
      <c r="J546" s="2">
        <v>6420</v>
      </c>
      <c r="K546" s="2">
        <v>14</v>
      </c>
      <c r="L546" s="2" t="s">
        <v>24</v>
      </c>
      <c r="M546" s="2">
        <v>4</v>
      </c>
      <c r="N546" s="2">
        <v>3</v>
      </c>
      <c r="O546" s="2">
        <v>3</v>
      </c>
      <c r="P546" s="2">
        <v>4</v>
      </c>
      <c r="Q546" s="2" t="s">
        <v>36</v>
      </c>
    </row>
    <row r="547" spans="1:17" x14ac:dyDescent="0.25">
      <c r="A547" s="2" t="s">
        <v>552</v>
      </c>
      <c r="B547" s="2">
        <v>42</v>
      </c>
      <c r="C547" s="2" t="s">
        <v>26</v>
      </c>
      <c r="D547" s="2" t="s">
        <v>19</v>
      </c>
      <c r="E547" s="2" t="s">
        <v>28</v>
      </c>
      <c r="F547" s="2" t="s">
        <v>34</v>
      </c>
      <c r="G547" s="2" t="s">
        <v>548</v>
      </c>
      <c r="H547" s="2">
        <v>1</v>
      </c>
      <c r="I547" s="2" t="s">
        <v>23</v>
      </c>
      <c r="J547" s="2">
        <v>2351</v>
      </c>
      <c r="K547" s="2">
        <v>13</v>
      </c>
      <c r="L547" s="2" t="s">
        <v>36</v>
      </c>
      <c r="M547" s="2">
        <v>1</v>
      </c>
      <c r="N547" s="2">
        <v>3</v>
      </c>
      <c r="O547" s="2">
        <v>4</v>
      </c>
      <c r="P547" s="2">
        <v>1</v>
      </c>
      <c r="Q547" s="2" t="s">
        <v>36</v>
      </c>
    </row>
    <row r="548" spans="1:17" x14ac:dyDescent="0.25">
      <c r="A548" s="2" t="s">
        <v>127</v>
      </c>
      <c r="B548" s="2">
        <v>28</v>
      </c>
      <c r="C548" s="2" t="s">
        <v>18</v>
      </c>
      <c r="D548" s="2" t="s">
        <v>33</v>
      </c>
      <c r="E548" s="2" t="s">
        <v>28</v>
      </c>
      <c r="F548" s="2" t="s">
        <v>34</v>
      </c>
      <c r="G548" s="2" t="s">
        <v>1074</v>
      </c>
      <c r="H548" s="2">
        <v>6</v>
      </c>
      <c r="I548" s="2" t="s">
        <v>31</v>
      </c>
      <c r="J548" s="2">
        <v>3667</v>
      </c>
      <c r="K548" s="2">
        <v>1</v>
      </c>
      <c r="L548" s="2" t="s">
        <v>24</v>
      </c>
      <c r="M548" s="2">
        <v>2</v>
      </c>
      <c r="N548" s="2">
        <v>3</v>
      </c>
      <c r="O548" s="2">
        <v>3</v>
      </c>
      <c r="P548" s="2">
        <v>2</v>
      </c>
      <c r="Q548" s="2" t="s">
        <v>24</v>
      </c>
    </row>
    <row r="549" spans="1:17" x14ac:dyDescent="0.25">
      <c r="A549" s="2" t="s">
        <v>1081</v>
      </c>
      <c r="B549" s="2">
        <v>33</v>
      </c>
      <c r="C549" s="2" t="s">
        <v>26</v>
      </c>
      <c r="D549" s="2" t="s">
        <v>27</v>
      </c>
      <c r="E549" s="2" t="s">
        <v>20</v>
      </c>
      <c r="F549" s="2" t="s">
        <v>21</v>
      </c>
      <c r="G549" s="2" t="s">
        <v>1076</v>
      </c>
      <c r="H549" s="2">
        <v>3</v>
      </c>
      <c r="I549" s="2" t="s">
        <v>42</v>
      </c>
      <c r="J549" s="2">
        <v>9102</v>
      </c>
      <c r="K549" s="2">
        <v>19</v>
      </c>
      <c r="L549" s="2" t="s">
        <v>36</v>
      </c>
      <c r="M549" s="2">
        <v>3</v>
      </c>
      <c r="N549" s="2">
        <v>2</v>
      </c>
      <c r="O549" s="2">
        <v>3</v>
      </c>
      <c r="P549" s="2">
        <v>1</v>
      </c>
      <c r="Q549" s="2" t="s">
        <v>36</v>
      </c>
    </row>
    <row r="550" spans="1:17" x14ac:dyDescent="0.25">
      <c r="A550" s="2" t="s">
        <v>231</v>
      </c>
      <c r="B550" s="2">
        <v>28</v>
      </c>
      <c r="C550" s="2" t="s">
        <v>26</v>
      </c>
      <c r="D550" s="2" t="s">
        <v>33</v>
      </c>
      <c r="E550" s="2" t="s">
        <v>20</v>
      </c>
      <c r="F550" s="2" t="s">
        <v>40</v>
      </c>
      <c r="G550" s="2" t="s">
        <v>1078</v>
      </c>
      <c r="H550" s="2">
        <v>14</v>
      </c>
      <c r="I550" s="2" t="s">
        <v>92</v>
      </c>
      <c r="J550" s="2">
        <v>4571</v>
      </c>
      <c r="K550" s="2">
        <v>12</v>
      </c>
      <c r="L550" s="2" t="s">
        <v>24</v>
      </c>
      <c r="M550" s="2">
        <v>3</v>
      </c>
      <c r="N550" s="2">
        <v>3</v>
      </c>
      <c r="O550" s="2">
        <v>3</v>
      </c>
      <c r="P550" s="2">
        <v>1</v>
      </c>
      <c r="Q550" s="2" t="s">
        <v>24</v>
      </c>
    </row>
    <row r="551" spans="1:17" x14ac:dyDescent="0.25">
      <c r="A551" s="2" t="s">
        <v>527</v>
      </c>
      <c r="B551" s="2">
        <v>41</v>
      </c>
      <c r="C551" s="2" t="s">
        <v>18</v>
      </c>
      <c r="D551" s="2" t="s">
        <v>33</v>
      </c>
      <c r="E551" s="2" t="s">
        <v>28</v>
      </c>
      <c r="F551" s="2" t="s">
        <v>34</v>
      </c>
      <c r="G551" s="2" t="s">
        <v>1080</v>
      </c>
      <c r="H551" s="2">
        <v>12</v>
      </c>
      <c r="I551" s="2" t="s">
        <v>92</v>
      </c>
      <c r="J551" s="2">
        <v>3894</v>
      </c>
      <c r="K551" s="2">
        <v>2</v>
      </c>
      <c r="L551" s="2" t="s">
        <v>24</v>
      </c>
      <c r="M551" s="2">
        <v>4</v>
      </c>
      <c r="N551" s="2">
        <v>2</v>
      </c>
      <c r="O551" s="2">
        <v>3</v>
      </c>
      <c r="P551" s="2">
        <v>5</v>
      </c>
      <c r="Q551" s="2" t="s">
        <v>36</v>
      </c>
    </row>
    <row r="552" spans="1:17" x14ac:dyDescent="0.25">
      <c r="A552" s="2" t="s">
        <v>54</v>
      </c>
      <c r="B552" s="2">
        <v>33</v>
      </c>
      <c r="C552" s="2" t="s">
        <v>18</v>
      </c>
      <c r="D552" s="2" t="s">
        <v>27</v>
      </c>
      <c r="E552" s="2" t="s">
        <v>20</v>
      </c>
      <c r="F552" s="2" t="s">
        <v>40</v>
      </c>
      <c r="G552" s="2" t="s">
        <v>1082</v>
      </c>
      <c r="H552" s="2">
        <v>6</v>
      </c>
      <c r="I552" s="2" t="s">
        <v>31</v>
      </c>
      <c r="J552" s="2">
        <v>3843</v>
      </c>
      <c r="K552" s="2">
        <v>8</v>
      </c>
      <c r="L552" s="2" t="s">
        <v>36</v>
      </c>
      <c r="M552" s="2">
        <v>4</v>
      </c>
      <c r="N552" s="2">
        <v>3</v>
      </c>
      <c r="O552" s="2">
        <v>3</v>
      </c>
      <c r="P552" s="2">
        <v>3</v>
      </c>
      <c r="Q552" s="2" t="s">
        <v>36</v>
      </c>
    </row>
    <row r="553" spans="1:17" x14ac:dyDescent="0.25">
      <c r="A553" s="2" t="s">
        <v>188</v>
      </c>
      <c r="B553" s="2">
        <v>35</v>
      </c>
      <c r="C553" s="2" t="s">
        <v>18</v>
      </c>
      <c r="D553" s="2" t="s">
        <v>19</v>
      </c>
      <c r="E553" s="2" t="s">
        <v>28</v>
      </c>
      <c r="F553" s="2" t="s">
        <v>29</v>
      </c>
      <c r="G553" s="2" t="s">
        <v>1084</v>
      </c>
      <c r="H553" s="2">
        <v>0</v>
      </c>
      <c r="I553" s="2" t="s">
        <v>23</v>
      </c>
      <c r="J553" s="2">
        <v>11957</v>
      </c>
      <c r="K553" s="2">
        <v>3</v>
      </c>
      <c r="L553" s="2" t="s">
        <v>36</v>
      </c>
      <c r="M553" s="2">
        <v>3</v>
      </c>
      <c r="N553" s="2">
        <v>2</v>
      </c>
      <c r="O553" s="2">
        <v>3</v>
      </c>
      <c r="P553" s="2">
        <v>1</v>
      </c>
      <c r="Q553" s="2" t="s">
        <v>24</v>
      </c>
    </row>
    <row r="554" spans="1:17" x14ac:dyDescent="0.25">
      <c r="A554" s="2" t="s">
        <v>1016</v>
      </c>
      <c r="B554" s="2">
        <v>44</v>
      </c>
      <c r="C554" s="2" t="s">
        <v>26</v>
      </c>
      <c r="D554" s="2" t="s">
        <v>19</v>
      </c>
      <c r="E554" s="2" t="s">
        <v>20</v>
      </c>
      <c r="F554" s="2" t="s">
        <v>40</v>
      </c>
      <c r="G554" s="2" t="s">
        <v>1086</v>
      </c>
      <c r="H554" s="2">
        <v>0</v>
      </c>
      <c r="I554" s="2" t="s">
        <v>23</v>
      </c>
      <c r="J554" s="2">
        <v>3666</v>
      </c>
      <c r="K554" s="2">
        <v>3</v>
      </c>
      <c r="L554" s="2" t="s">
        <v>36</v>
      </c>
      <c r="M554" s="2">
        <v>4</v>
      </c>
      <c r="N554" s="2">
        <v>4</v>
      </c>
      <c r="O554" s="2">
        <v>3</v>
      </c>
      <c r="P554" s="2">
        <v>1</v>
      </c>
      <c r="Q554" s="2" t="s">
        <v>24</v>
      </c>
    </row>
    <row r="555" spans="1:17" x14ac:dyDescent="0.25">
      <c r="A555" s="2" t="s">
        <v>686</v>
      </c>
      <c r="B555" s="2">
        <v>34</v>
      </c>
      <c r="C555" s="2" t="s">
        <v>18</v>
      </c>
      <c r="D555" s="2" t="s">
        <v>33</v>
      </c>
      <c r="E555" s="2" t="s">
        <v>28</v>
      </c>
      <c r="F555" s="2" t="s">
        <v>29</v>
      </c>
      <c r="G555" s="2" t="s">
        <v>1088</v>
      </c>
      <c r="H555" s="2">
        <v>5</v>
      </c>
      <c r="I555" s="2" t="s">
        <v>42</v>
      </c>
      <c r="J555" s="2">
        <v>14905</v>
      </c>
      <c r="K555" s="2">
        <v>26</v>
      </c>
      <c r="L555" s="2" t="s">
        <v>24</v>
      </c>
      <c r="M555" s="2">
        <v>4</v>
      </c>
      <c r="N555" s="2">
        <v>4</v>
      </c>
      <c r="O555" s="2">
        <v>3</v>
      </c>
      <c r="P555" s="2">
        <v>1</v>
      </c>
      <c r="Q555" s="2" t="s">
        <v>24</v>
      </c>
    </row>
    <row r="556" spans="1:17" x14ac:dyDescent="0.25">
      <c r="A556" s="2" t="s">
        <v>311</v>
      </c>
      <c r="B556" s="2">
        <v>36</v>
      </c>
      <c r="C556" s="2" t="s">
        <v>18</v>
      </c>
      <c r="D556" s="2" t="s">
        <v>33</v>
      </c>
      <c r="E556" s="2" t="s">
        <v>20</v>
      </c>
      <c r="F556" s="2" t="s">
        <v>21</v>
      </c>
      <c r="G556" s="2" t="s">
        <v>1090</v>
      </c>
      <c r="H556" s="2">
        <v>4</v>
      </c>
      <c r="I556" s="2" t="s">
        <v>42</v>
      </c>
      <c r="J556" s="2">
        <v>15926</v>
      </c>
      <c r="K556" s="2">
        <v>1</v>
      </c>
      <c r="L556" s="2" t="s">
        <v>24</v>
      </c>
      <c r="M556" s="2">
        <v>3</v>
      </c>
      <c r="N556" s="2">
        <v>2</v>
      </c>
      <c r="O556" s="2">
        <v>4</v>
      </c>
      <c r="P556" s="2">
        <v>4</v>
      </c>
      <c r="Q556" s="2" t="s">
        <v>24</v>
      </c>
    </row>
    <row r="557" spans="1:17" x14ac:dyDescent="0.25">
      <c r="A557" s="2" t="s">
        <v>109</v>
      </c>
      <c r="B557" s="2">
        <v>38</v>
      </c>
      <c r="C557" s="2" t="s">
        <v>18</v>
      </c>
      <c r="D557" s="2" t="s">
        <v>27</v>
      </c>
      <c r="E557" s="2" t="s">
        <v>28</v>
      </c>
      <c r="F557" s="2" t="s">
        <v>64</v>
      </c>
      <c r="G557" s="2" t="s">
        <v>466</v>
      </c>
      <c r="H557" s="2">
        <v>0</v>
      </c>
      <c r="I557" s="2" t="s">
        <v>23</v>
      </c>
      <c r="J557" s="2">
        <v>5252</v>
      </c>
      <c r="K557" s="2">
        <v>3</v>
      </c>
      <c r="L557" s="2" t="s">
        <v>24</v>
      </c>
      <c r="M557" s="2">
        <v>1</v>
      </c>
      <c r="N557" s="2">
        <v>4</v>
      </c>
      <c r="O557" s="2">
        <v>3</v>
      </c>
      <c r="P557" s="2">
        <v>3</v>
      </c>
      <c r="Q557" s="2" t="s">
        <v>36</v>
      </c>
    </row>
    <row r="558" spans="1:17" x14ac:dyDescent="0.25">
      <c r="A558" s="2" t="s">
        <v>719</v>
      </c>
      <c r="B558" s="2">
        <v>32</v>
      </c>
      <c r="C558" s="2" t="s">
        <v>18</v>
      </c>
      <c r="D558" s="2" t="s">
        <v>33</v>
      </c>
      <c r="E558" s="2" t="s">
        <v>28</v>
      </c>
      <c r="F558" s="2" t="s">
        <v>64</v>
      </c>
      <c r="G558" s="2" t="s">
        <v>1093</v>
      </c>
      <c r="H558" s="2">
        <v>6</v>
      </c>
      <c r="I558" s="2" t="s">
        <v>31</v>
      </c>
      <c r="J558" s="2">
        <v>6401</v>
      </c>
      <c r="K558" s="2">
        <v>2</v>
      </c>
      <c r="L558" s="2" t="s">
        <v>24</v>
      </c>
      <c r="M558" s="2">
        <v>4</v>
      </c>
      <c r="N558" s="2">
        <v>4</v>
      </c>
      <c r="O558" s="2">
        <v>3</v>
      </c>
      <c r="P558" s="2">
        <v>1</v>
      </c>
      <c r="Q558" s="2" t="s">
        <v>24</v>
      </c>
    </row>
    <row r="559" spans="1:17" x14ac:dyDescent="0.25">
      <c r="A559" s="2" t="s">
        <v>393</v>
      </c>
      <c r="B559" s="2">
        <v>32</v>
      </c>
      <c r="C559" s="2" t="s">
        <v>26</v>
      </c>
      <c r="D559" s="2" t="s">
        <v>19</v>
      </c>
      <c r="E559" s="2" t="s">
        <v>20</v>
      </c>
      <c r="F559" s="2" t="s">
        <v>21</v>
      </c>
      <c r="G559" s="2" t="s">
        <v>1095</v>
      </c>
      <c r="H559" s="2">
        <v>2</v>
      </c>
      <c r="I559" s="2" t="s">
        <v>23</v>
      </c>
      <c r="J559" s="2">
        <v>12971</v>
      </c>
      <c r="K559" s="2">
        <v>1</v>
      </c>
      <c r="L559" s="2" t="s">
        <v>36</v>
      </c>
      <c r="M559" s="2">
        <v>2</v>
      </c>
      <c r="N559" s="2">
        <v>2</v>
      </c>
      <c r="O559" s="2">
        <v>3</v>
      </c>
      <c r="P559" s="2">
        <v>0</v>
      </c>
      <c r="Q559" s="2" t="s">
        <v>36</v>
      </c>
    </row>
    <row r="560" spans="1:17" x14ac:dyDescent="0.25">
      <c r="A560" s="2" t="s">
        <v>957</v>
      </c>
      <c r="B560" s="2">
        <v>32</v>
      </c>
      <c r="C560" s="2" t="s">
        <v>18</v>
      </c>
      <c r="D560" s="2" t="s">
        <v>33</v>
      </c>
      <c r="E560" s="2" t="s">
        <v>28</v>
      </c>
      <c r="F560" s="2" t="s">
        <v>34</v>
      </c>
      <c r="G560" s="2" t="s">
        <v>1097</v>
      </c>
      <c r="H560" s="2">
        <v>3</v>
      </c>
      <c r="I560" s="2" t="s">
        <v>42</v>
      </c>
      <c r="J560" s="2">
        <v>2875</v>
      </c>
      <c r="K560" s="2">
        <v>2</v>
      </c>
      <c r="L560" s="2" t="s">
        <v>36</v>
      </c>
      <c r="M560" s="2">
        <v>2</v>
      </c>
      <c r="N560" s="2">
        <v>1</v>
      </c>
      <c r="O560" s="2">
        <v>3</v>
      </c>
      <c r="P560" s="2">
        <v>0</v>
      </c>
      <c r="Q560" s="2" t="s">
        <v>24</v>
      </c>
    </row>
    <row r="561" spans="1:17" x14ac:dyDescent="0.25">
      <c r="A561" s="2" t="s">
        <v>522</v>
      </c>
      <c r="B561" s="2">
        <v>35</v>
      </c>
      <c r="C561" s="2" t="s">
        <v>18</v>
      </c>
      <c r="D561" s="2" t="s">
        <v>33</v>
      </c>
      <c r="E561" s="2" t="s">
        <v>20</v>
      </c>
      <c r="F561" s="2" t="s">
        <v>40</v>
      </c>
      <c r="G561" s="2" t="s">
        <v>679</v>
      </c>
      <c r="H561" s="2">
        <v>6</v>
      </c>
      <c r="I561" s="2" t="s">
        <v>31</v>
      </c>
      <c r="J561" s="2">
        <v>3133</v>
      </c>
      <c r="K561" s="2">
        <v>7</v>
      </c>
      <c r="L561" s="2" t="s">
        <v>24</v>
      </c>
      <c r="M561" s="2">
        <v>4</v>
      </c>
      <c r="N561" s="2">
        <v>2</v>
      </c>
      <c r="O561" s="2">
        <v>4</v>
      </c>
      <c r="P561" s="2">
        <v>2</v>
      </c>
      <c r="Q561" s="2" t="s">
        <v>36</v>
      </c>
    </row>
    <row r="562" spans="1:17" x14ac:dyDescent="0.25">
      <c r="A562" s="2" t="s">
        <v>818</v>
      </c>
      <c r="B562" s="2">
        <v>28</v>
      </c>
      <c r="C562" s="2" t="s">
        <v>18</v>
      </c>
      <c r="D562" s="2" t="s">
        <v>19</v>
      </c>
      <c r="E562" s="2" t="s">
        <v>20</v>
      </c>
      <c r="F562" s="2" t="s">
        <v>44</v>
      </c>
      <c r="G562" s="2" t="s">
        <v>1100</v>
      </c>
      <c r="H562" s="2">
        <v>8</v>
      </c>
      <c r="I562" s="2" t="s">
        <v>31</v>
      </c>
      <c r="J562" s="2">
        <v>6988</v>
      </c>
      <c r="K562" s="2">
        <v>18</v>
      </c>
      <c r="L562" s="2" t="s">
        <v>24</v>
      </c>
      <c r="M562" s="2">
        <v>3</v>
      </c>
      <c r="N562" s="2">
        <v>3</v>
      </c>
      <c r="O562" s="2">
        <v>3</v>
      </c>
      <c r="P562" s="2">
        <v>0</v>
      </c>
      <c r="Q562" s="2" t="s">
        <v>24</v>
      </c>
    </row>
  </sheetData>
  <sortState ref="A2:A562">
    <sortCondition ref="A1"/>
  </sortState>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zoomScaleNormal="100" workbookViewId="0">
      <selection activeCell="A5" sqref="A5"/>
    </sheetView>
  </sheetViews>
  <sheetFormatPr defaultColWidth="8.7109375" defaultRowHeight="15" x14ac:dyDescent="0.25"/>
  <cols>
    <col min="1" max="1" width="56" bestFit="1" customWidth="1"/>
    <col min="2" max="2" width="12.7109375" bestFit="1" customWidth="1"/>
    <col min="3" max="3" width="10.85546875" bestFit="1" customWidth="1"/>
    <col min="4" max="4" width="6.140625" bestFit="1" customWidth="1"/>
    <col min="5" max="5" width="14.42578125" bestFit="1" customWidth="1"/>
  </cols>
  <sheetData>
    <row r="1" spans="1:5" ht="18" x14ac:dyDescent="0.25">
      <c r="A1" s="3" t="s">
        <v>1101</v>
      </c>
    </row>
    <row r="2" spans="1:5" ht="15.75" x14ac:dyDescent="0.25">
      <c r="A2" s="4" t="s">
        <v>1102</v>
      </c>
      <c r="B2" s="5">
        <f>COUNTIF('Cleaned Data'!$Q$2:$Q$562,"Yes")/COUNTA('Cleaned Data'!$Q$2:$Q$562)</f>
        <v>0.27629233511586454</v>
      </c>
    </row>
    <row r="4" spans="1:5" x14ac:dyDescent="0.25">
      <c r="A4" s="1" t="s">
        <v>4</v>
      </c>
      <c r="B4" s="1" t="s">
        <v>1103</v>
      </c>
      <c r="C4" s="1" t="s">
        <v>1104</v>
      </c>
      <c r="D4" s="1" t="s">
        <v>1105</v>
      </c>
      <c r="E4" s="1" t="s">
        <v>1106</v>
      </c>
    </row>
    <row r="5" spans="1:5" x14ac:dyDescent="0.25">
      <c r="A5" s="6" t="s">
        <v>110</v>
      </c>
      <c r="B5" s="6">
        <f>COUNTIFS('Cleaned Data'!$E$2:$E$562,$A5,'Cleaned Data'!$Q$2:$Q$562,"No")</f>
        <v>35</v>
      </c>
      <c r="C5" s="6">
        <f>COUNTIFS('Cleaned Data'!$E$2:$E$562,$A5,'Cleaned Data'!$Q$2:$Q$562,"Yes")</f>
        <v>11</v>
      </c>
      <c r="D5" s="6">
        <f>B5+C5</f>
        <v>46</v>
      </c>
      <c r="E5" s="7">
        <f>IF(D5=0,0,C5/D5)</f>
        <v>0.2391304347826087</v>
      </c>
    </row>
    <row r="6" spans="1:5" x14ac:dyDescent="0.25">
      <c r="A6" s="6" t="s">
        <v>28</v>
      </c>
      <c r="B6" s="6">
        <f>COUNTIFS('Cleaned Data'!$E$2:$E$562,$A6,'Cleaned Data'!$Q$2:$Q$562,"No")</f>
        <v>236</v>
      </c>
      <c r="C6" s="6">
        <f>COUNTIFS('Cleaned Data'!$E$2:$E$562,$A6,'Cleaned Data'!$Q$2:$Q$562,"Yes")</f>
        <v>75</v>
      </c>
      <c r="D6" s="6">
        <f>B6+C6</f>
        <v>311</v>
      </c>
      <c r="E6" s="7">
        <f>IF(D6=0,0,C6/D6)</f>
        <v>0.24115755627009647</v>
      </c>
    </row>
    <row r="7" spans="1:5" x14ac:dyDescent="0.25">
      <c r="A7" s="6" t="s">
        <v>20</v>
      </c>
      <c r="B7" s="6">
        <f>COUNTIFS('Cleaned Data'!$E$2:$E$562,$A7,'Cleaned Data'!$Q$2:$Q$562,"No")</f>
        <v>135</v>
      </c>
      <c r="C7" s="6">
        <f>COUNTIFS('Cleaned Data'!$E$2:$E$562,$A7,'Cleaned Data'!$Q$2:$Q$562,"Yes")</f>
        <v>69</v>
      </c>
      <c r="D7" s="6">
        <f>B7+C7</f>
        <v>204</v>
      </c>
      <c r="E7" s="7">
        <f>IF(D7=0,0,C7/D7)</f>
        <v>0.33823529411764708</v>
      </c>
    </row>
    <row r="10" spans="1:5" x14ac:dyDescent="0.25">
      <c r="A10" s="1" t="s">
        <v>11</v>
      </c>
      <c r="B10" s="1" t="s">
        <v>1103</v>
      </c>
      <c r="C10" s="1" t="s">
        <v>1104</v>
      </c>
      <c r="D10" s="1" t="s">
        <v>1105</v>
      </c>
      <c r="E10" s="1" t="s">
        <v>1106</v>
      </c>
    </row>
    <row r="11" spans="1:5" x14ac:dyDescent="0.25">
      <c r="A11" s="6" t="s">
        <v>36</v>
      </c>
      <c r="B11" s="6">
        <f>COUNTIFS('Cleaned Data'!$L$2:$L$562,$A11,'Cleaned Data'!$Q$2:$Q$562,"No")</f>
        <v>100</v>
      </c>
      <c r="C11" s="6">
        <f>COUNTIFS('Cleaned Data'!$L$2:$L$562,$A11,'Cleaned Data'!$Q$2:$Q$562,"Yes")</f>
        <v>79</v>
      </c>
      <c r="D11" s="6">
        <f>B11+C11</f>
        <v>179</v>
      </c>
      <c r="E11" s="7">
        <f>IF(D11=0,0,C11/D11)</f>
        <v>0.44134078212290501</v>
      </c>
    </row>
    <row r="12" spans="1:5" x14ac:dyDescent="0.25">
      <c r="A12" s="6" t="s">
        <v>24</v>
      </c>
      <c r="B12" s="6">
        <f>COUNTIFS('Cleaned Data'!$L$2:$L$562,$A12,'Cleaned Data'!$Q$2:$Q$562,"No")</f>
        <v>306</v>
      </c>
      <c r="C12" s="6">
        <f>COUNTIFS('Cleaned Data'!$L$2:$L$562,$A12,'Cleaned Data'!$Q$2:$Q$562,"Yes")</f>
        <v>76</v>
      </c>
      <c r="D12" s="6">
        <f>B12+C12</f>
        <v>382</v>
      </c>
      <c r="E12" s="7">
        <f>IF(D12=0,0,C12/D12)</f>
        <v>0.19895287958115182</v>
      </c>
    </row>
    <row r="15" spans="1:5" x14ac:dyDescent="0.25">
      <c r="A15" s="1" t="s">
        <v>1107</v>
      </c>
      <c r="B15" s="1" t="s">
        <v>1103</v>
      </c>
      <c r="C15" s="1" t="s">
        <v>1104</v>
      </c>
      <c r="D15" s="1" t="s">
        <v>1105</v>
      </c>
      <c r="E15" s="1" t="s">
        <v>1106</v>
      </c>
    </row>
    <row r="16" spans="1:5" x14ac:dyDescent="0.25">
      <c r="A16" s="6">
        <v>1</v>
      </c>
      <c r="B16" s="6">
        <f>COUNTIFS('Cleaned Data'!$M$2:$M$562,$A16,'Cleaned Data'!$Q$2:$Q$562,"No")</f>
        <v>46</v>
      </c>
      <c r="C16" s="6">
        <f>COUNTIFS('Cleaned Data'!$M$2:$M$562,$A16,'Cleaned Data'!$Q$2:$Q$562,"Yes")</f>
        <v>33</v>
      </c>
      <c r="D16" s="6">
        <f>B16+C16</f>
        <v>79</v>
      </c>
      <c r="E16" s="7">
        <f>IF(D16=0,0,C16/D16)</f>
        <v>0.41772151898734178</v>
      </c>
    </row>
    <row r="17" spans="1:5" x14ac:dyDescent="0.25">
      <c r="A17" s="6">
        <v>2</v>
      </c>
      <c r="B17" s="6">
        <f>COUNTIFS('Cleaned Data'!$M$2:$M$562,$A17,'Cleaned Data'!$Q$2:$Q$562,"No")</f>
        <v>87</v>
      </c>
      <c r="C17" s="6">
        <f>COUNTIFS('Cleaned Data'!$M$2:$M$562,$A17,'Cleaned Data'!$Q$2:$Q$562,"Yes")</f>
        <v>49</v>
      </c>
      <c r="D17" s="6">
        <f>B17+C17</f>
        <v>136</v>
      </c>
      <c r="E17" s="7">
        <f>IF(D17=0,0,C17/D17)</f>
        <v>0.36029411764705882</v>
      </c>
    </row>
    <row r="18" spans="1:5" x14ac:dyDescent="0.25">
      <c r="A18" s="6">
        <v>3</v>
      </c>
      <c r="B18" s="6">
        <f>COUNTIFS('Cleaned Data'!$M$2:$M$562,$A18,'Cleaned Data'!$Q$2:$Q$562,"No")</f>
        <v>128</v>
      </c>
      <c r="C18" s="6">
        <f>COUNTIFS('Cleaned Data'!$M$2:$M$562,$A18,'Cleaned Data'!$Q$2:$Q$562,"Yes")</f>
        <v>29</v>
      </c>
      <c r="D18" s="6">
        <f>B18+C18</f>
        <v>157</v>
      </c>
      <c r="E18" s="7">
        <f>IF(D18=0,0,C18/D18)</f>
        <v>0.18471337579617833</v>
      </c>
    </row>
    <row r="19" spans="1:5" x14ac:dyDescent="0.25">
      <c r="A19" s="6">
        <v>4</v>
      </c>
      <c r="B19" s="6">
        <f>COUNTIFS('Cleaned Data'!$M$2:$M$562,$A19,'Cleaned Data'!$Q$2:$Q$562,"No")</f>
        <v>145</v>
      </c>
      <c r="C19" s="6">
        <f>COUNTIFS('Cleaned Data'!$M$2:$M$562,$A19,'Cleaned Data'!$Q$2:$Q$562,"Yes")</f>
        <v>44</v>
      </c>
      <c r="D19" s="6">
        <f>B19+C19</f>
        <v>189</v>
      </c>
      <c r="E19" s="7">
        <f>IF(D19=0,0,C19/D19)</f>
        <v>0.23280423280423279</v>
      </c>
    </row>
    <row r="22" spans="1:5" x14ac:dyDescent="0.25">
      <c r="A22" s="1" t="s">
        <v>1108</v>
      </c>
      <c r="B22" s="1" t="s">
        <v>1103</v>
      </c>
      <c r="C22" s="1" t="s">
        <v>1104</v>
      </c>
      <c r="D22" s="1" t="s">
        <v>1105</v>
      </c>
      <c r="E22" s="1" t="s">
        <v>1106</v>
      </c>
    </row>
    <row r="23" spans="1:5" x14ac:dyDescent="0.25">
      <c r="A23" s="6" t="s">
        <v>23</v>
      </c>
      <c r="B23" s="6">
        <f>COUNTIFS('Cleaned Data'!$I$2:$I$562,$A23,'Cleaned Data'!$Q$2:$Q$562,"No")</f>
        <v>211</v>
      </c>
      <c r="C23" s="6">
        <f>COUNTIFS('Cleaned Data'!$I$2:$I$562,$A23,'Cleaned Data'!$Q$2:$Q$562,"Yes")</f>
        <v>95</v>
      </c>
      <c r="D23" s="6">
        <f>B23+C23</f>
        <v>306</v>
      </c>
      <c r="E23" s="7">
        <f>IF(D23=0,0,C23/D23)</f>
        <v>0.31045751633986929</v>
      </c>
    </row>
    <row r="24" spans="1:5" x14ac:dyDescent="0.25">
      <c r="A24" s="6" t="s">
        <v>42</v>
      </c>
      <c r="B24" s="6">
        <f>COUNTIFS('Cleaned Data'!$I$2:$I$562,$A24,'Cleaned Data'!$Q$2:$Q$562,"No")</f>
        <v>97</v>
      </c>
      <c r="C24" s="6">
        <f>COUNTIFS('Cleaned Data'!$I$2:$I$562,$A24,'Cleaned Data'!$Q$2:$Q$562,"Yes")</f>
        <v>37</v>
      </c>
      <c r="D24" s="6">
        <f>B24+C24</f>
        <v>134</v>
      </c>
      <c r="E24" s="7">
        <f>IF(D24=0,0,C24/D24)</f>
        <v>0.27611940298507465</v>
      </c>
    </row>
    <row r="25" spans="1:5" x14ac:dyDescent="0.25">
      <c r="A25" s="6" t="s">
        <v>31</v>
      </c>
      <c r="B25" s="6">
        <f>COUNTIFS('Cleaned Data'!$I$2:$I$562,$A25,'Cleaned Data'!$Q$2:$Q$562,"No")</f>
        <v>79</v>
      </c>
      <c r="C25" s="6">
        <f>COUNTIFS('Cleaned Data'!$I$2:$I$562,$A25,'Cleaned Data'!$Q$2:$Q$562,"Yes")</f>
        <v>18</v>
      </c>
      <c r="D25" s="6">
        <f>B25+C25</f>
        <v>97</v>
      </c>
      <c r="E25" s="7">
        <f>IF(D25=0,0,C25/D25)</f>
        <v>0.18556701030927836</v>
      </c>
    </row>
    <row r="26" spans="1:5" x14ac:dyDescent="0.25">
      <c r="A26" s="6" t="s">
        <v>92</v>
      </c>
      <c r="B26" s="6">
        <f>COUNTIFS('Cleaned Data'!$I$2:$I$562,$A26,'Cleaned Data'!$Q$2:$Q$562,"No")</f>
        <v>19</v>
      </c>
      <c r="C26" s="6">
        <f>COUNTIFS('Cleaned Data'!$I$2:$I$562,$A26,'Cleaned Data'!$Q$2:$Q$562,"Yes")</f>
        <v>5</v>
      </c>
      <c r="D26" s="6">
        <f>B26+C26</f>
        <v>24</v>
      </c>
      <c r="E26" s="7">
        <f>IF(D26=0,0,C26/D26)</f>
        <v>0.20833333333333334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zoomScaleNormal="100" workbookViewId="0">
      <selection activeCell="A7" sqref="A7"/>
    </sheetView>
  </sheetViews>
  <sheetFormatPr defaultColWidth="8.7109375" defaultRowHeight="15" x14ac:dyDescent="0.25"/>
  <cols>
    <col min="1" max="1" width="149.28515625" bestFit="1" customWidth="1"/>
  </cols>
  <sheetData>
    <row r="1" spans="1:1" ht="21.75" customHeight="1" x14ac:dyDescent="0.25">
      <c r="A1" s="8" t="s">
        <v>1109</v>
      </c>
    </row>
    <row r="3" spans="1:1" ht="15.75" x14ac:dyDescent="0.25">
      <c r="A3" s="9" t="s">
        <v>1110</v>
      </c>
    </row>
    <row r="4" spans="1:1" ht="39.75" customHeight="1" x14ac:dyDescent="0.25">
      <c r="A4" s="10" t="s">
        <v>1111</v>
      </c>
    </row>
    <row r="6" spans="1:1" ht="15.75" x14ac:dyDescent="0.25">
      <c r="A6" s="9" t="s">
        <v>1112</v>
      </c>
    </row>
    <row r="7" spans="1:1" ht="39.75" customHeight="1" x14ac:dyDescent="0.25">
      <c r="A7" s="10" t="s">
        <v>1122</v>
      </c>
    </row>
    <row r="9" spans="1:1" ht="15.75" x14ac:dyDescent="0.25">
      <c r="A9" s="9" t="s">
        <v>1113</v>
      </c>
    </row>
    <row r="10" spans="1:1" ht="30" customHeight="1" x14ac:dyDescent="0.25">
      <c r="A10" s="10" t="s">
        <v>1121</v>
      </c>
    </row>
    <row r="11" spans="1:1" ht="30" customHeight="1" x14ac:dyDescent="0.25">
      <c r="A11" s="10" t="s">
        <v>1114</v>
      </c>
    </row>
    <row r="12" spans="1:1" ht="30" customHeight="1" x14ac:dyDescent="0.25">
      <c r="A12" s="10" t="s">
        <v>1115</v>
      </c>
    </row>
    <row r="13" spans="1:1" ht="30" customHeight="1" x14ac:dyDescent="0.25">
      <c r="A13" s="10" t="s">
        <v>1116</v>
      </c>
    </row>
    <row r="15" spans="1:1" ht="15.75" x14ac:dyDescent="0.25">
      <c r="A15" s="9" t="s">
        <v>1117</v>
      </c>
    </row>
    <row r="16" spans="1:1" ht="30" customHeight="1" x14ac:dyDescent="0.25">
      <c r="A16" s="10" t="s">
        <v>1118</v>
      </c>
    </row>
    <row r="17" spans="1:1" ht="30" customHeight="1" x14ac:dyDescent="0.25">
      <c r="A17" s="10" t="s">
        <v>1119</v>
      </c>
    </row>
    <row r="18" spans="1:1" ht="30" customHeight="1" x14ac:dyDescent="0.25">
      <c r="A18" s="10" t="s">
        <v>1120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Attrition Summary</vt:lpstr>
      <vt:lpstr>Findings &amp; Recommendations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ayomide adeyemi</cp:lastModifiedBy>
  <cp:revision>0</cp:revision>
  <dcterms:created xsi:type="dcterms:W3CDTF">2026-07-23T17:05:41Z</dcterms:created>
  <dcterms:modified xsi:type="dcterms:W3CDTF">2026-08-08T20:55:15Z</dcterms:modified>
  <dc:language>en-US</dc:language>
</cp:coreProperties>
</file>